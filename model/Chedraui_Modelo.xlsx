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 - UNIVERSIDAD NACIONAL AUTÓNOMA DE MÉXICO\IF PUEI\Materias\Segundo semestre\Decisiones financieras estratégicas\Proyecto Chedraui\"/>
    </mc:Choice>
  </mc:AlternateContent>
  <xr:revisionPtr revIDLastSave="0" documentId="13_ncr:1_{8403B425-6DEB-4493-9F12-E647D4682523}" xr6:coauthVersionLast="47" xr6:coauthVersionMax="47" xr10:uidLastSave="{00000000-0000-0000-0000-000000000000}"/>
  <bookViews>
    <workbookView xWindow="-108" yWindow="-108" windowWidth="23256" windowHeight="13176" tabRatio="831" xr2:uid="{5A77B1D1-3195-4EC1-A033-1639AD293B57}"/>
  </bookViews>
  <sheets>
    <sheet name="Modelo financiero" sheetId="5" r:id="rId1"/>
    <sheet name="Chedraui" sheetId="6" r:id="rId2"/>
    <sheet name="Información" sheetId="7" r:id="rId3"/>
    <sheet name="Razones financieras" sheetId="4" r:id="rId4"/>
    <sheet name="Balance general" sheetId="2" r:id="rId5"/>
    <sheet name="Estado de resultados" sheetId="1" r:id="rId6"/>
    <sheet name="Flujo de efectivo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7" l="1"/>
  <c r="L35" i="5"/>
  <c r="L37" i="5"/>
  <c r="D13" i="5"/>
  <c r="E13" i="5"/>
  <c r="F13" i="5"/>
  <c r="G13" i="5"/>
  <c r="C13" i="5"/>
  <c r="L8" i="7"/>
  <c r="M8" i="7" s="1"/>
  <c r="N8" i="7" s="1"/>
  <c r="O8" i="7" s="1"/>
  <c r="P8" i="7" s="1"/>
  <c r="Q8" i="7" s="1"/>
  <c r="R8" i="7" s="1"/>
  <c r="S8" i="7" s="1"/>
  <c r="T8" i="7" s="1"/>
  <c r="K8" i="7"/>
  <c r="G7" i="7"/>
  <c r="H7" i="7"/>
  <c r="I7" i="7" s="1"/>
  <c r="J7" i="7" s="1"/>
  <c r="G8" i="7"/>
  <c r="H8" i="7"/>
  <c r="I8" i="7" s="1"/>
  <c r="J8" i="7" s="1"/>
  <c r="F8" i="7"/>
  <c r="H1" i="7"/>
  <c r="F7" i="7"/>
  <c r="E2" i="7"/>
  <c r="G43" i="7"/>
  <c r="L40" i="5"/>
  <c r="AC66" i="3"/>
  <c r="S60" i="1"/>
  <c r="S59" i="1"/>
  <c r="C33" i="7"/>
  <c r="G24" i="7"/>
  <c r="D24" i="7"/>
  <c r="G21" i="7"/>
  <c r="C38" i="7" s="1"/>
  <c r="C40" i="7" s="1"/>
  <c r="D21" i="7"/>
  <c r="C32" i="7" s="1"/>
  <c r="C34" i="7" s="1"/>
  <c r="C35" i="7" l="1"/>
  <c r="C36" i="7" s="1"/>
  <c r="D25" i="7"/>
  <c r="G25" i="7"/>
  <c r="C16" i="7"/>
  <c r="D16" i="7"/>
  <c r="E16" i="7"/>
  <c r="C15" i="7"/>
  <c r="D15" i="7"/>
  <c r="E15" i="7"/>
  <c r="D17" i="7" l="1"/>
  <c r="I11" i="5" s="1"/>
  <c r="E17" i="7"/>
  <c r="J11" i="5" s="1"/>
  <c r="C17" i="7"/>
  <c r="H11" i="5" s="1"/>
  <c r="D32" i="7"/>
  <c r="D34" i="7" s="1"/>
  <c r="D39" i="7"/>
  <c r="C39" i="7"/>
  <c r="C41" i="7" s="1"/>
  <c r="C42" i="7" s="1"/>
  <c r="E39" i="7"/>
  <c r="F39" i="7"/>
  <c r="E33" i="7"/>
  <c r="D33" i="7"/>
  <c r="F33" i="7"/>
  <c r="D38" i="7" l="1"/>
  <c r="D40" i="7" s="1"/>
  <c r="D41" i="7" s="1"/>
  <c r="D42" i="7" s="1"/>
  <c r="C43" i="7"/>
  <c r="C44" i="7" s="1"/>
  <c r="J22" i="5" s="1"/>
  <c r="D35" i="7"/>
  <c r="D36" i="7" s="1"/>
  <c r="E38" i="7" l="1"/>
  <c r="E40" i="7" s="1"/>
  <c r="E41" i="7" s="1"/>
  <c r="E42" i="7" s="1"/>
  <c r="D43" i="7"/>
  <c r="D44" i="7" s="1"/>
  <c r="K22" i="5" s="1"/>
  <c r="E32" i="7"/>
  <c r="E34" i="7" s="1"/>
  <c r="E35" i="7" s="1"/>
  <c r="E36" i="7" s="1"/>
  <c r="F38" i="7" l="1"/>
  <c r="F40" i="7" s="1"/>
  <c r="F41" i="7" s="1"/>
  <c r="F42" i="7" s="1"/>
  <c r="F43" i="7" s="1"/>
  <c r="E43" i="7"/>
  <c r="E44" i="7" s="1"/>
  <c r="L22" i="5" s="1"/>
  <c r="F32" i="7"/>
  <c r="F34" i="7" s="1"/>
  <c r="F35" i="7" s="1"/>
  <c r="F36" i="7" s="1"/>
  <c r="F44" i="7" l="1"/>
  <c r="M22" i="5" s="1"/>
  <c r="Y22" i="5" s="1"/>
  <c r="G32" i="7"/>
  <c r="W22" i="5" l="1"/>
  <c r="N22" i="5"/>
  <c r="X22" i="5"/>
  <c r="T22" i="5"/>
  <c r="S22" i="5"/>
  <c r="Q22" i="5"/>
  <c r="U22" i="5"/>
  <c r="P22" i="5"/>
  <c r="V22" i="5"/>
  <c r="O22" i="5"/>
  <c r="R22" i="5"/>
  <c r="G34" i="7"/>
  <c r="G33" i="7" l="1"/>
  <c r="G35" i="7" s="1"/>
  <c r="G36" i="7" s="1"/>
  <c r="G44" i="7" s="1"/>
  <c r="C15" i="5" l="1"/>
  <c r="I93" i="1"/>
  <c r="J93" i="1"/>
  <c r="I94" i="1"/>
  <c r="J94" i="1"/>
  <c r="I95" i="1"/>
  <c r="J95" i="1"/>
  <c r="I96" i="1"/>
  <c r="J96" i="1"/>
  <c r="H94" i="1"/>
  <c r="H95" i="1"/>
  <c r="H96" i="1"/>
  <c r="H93" i="1"/>
  <c r="D8" i="7"/>
  <c r="E8" i="7"/>
  <c r="C8" i="7"/>
  <c r="D7" i="7"/>
  <c r="E7" i="7"/>
  <c r="C7" i="7"/>
  <c r="D6" i="7"/>
  <c r="E6" i="7"/>
  <c r="C6" i="7"/>
  <c r="I82" i="1"/>
  <c r="J82" i="1"/>
  <c r="H82" i="1"/>
  <c r="C87" i="1"/>
  <c r="C90" i="1" s="1"/>
  <c r="D87" i="1"/>
  <c r="D90" i="1" s="1"/>
  <c r="E87" i="1"/>
  <c r="E90" i="1" s="1"/>
  <c r="F87" i="1"/>
  <c r="G87" i="1"/>
  <c r="C88" i="1"/>
  <c r="D88" i="1"/>
  <c r="E88" i="1"/>
  <c r="F88" i="1"/>
  <c r="G88" i="1"/>
  <c r="G90" i="1" s="1"/>
  <c r="C89" i="1"/>
  <c r="D89" i="1"/>
  <c r="E89" i="1"/>
  <c r="F89" i="1"/>
  <c r="G89" i="1"/>
  <c r="F90" i="1"/>
  <c r="H90" i="1"/>
  <c r="I90" i="1"/>
  <c r="H88" i="1"/>
  <c r="I88" i="1"/>
  <c r="H89" i="1"/>
  <c r="I89" i="1"/>
  <c r="H87" i="1"/>
  <c r="I87" i="1"/>
  <c r="J90" i="1"/>
  <c r="J88" i="1"/>
  <c r="J89" i="1"/>
  <c r="J87" i="1"/>
  <c r="C85" i="1"/>
  <c r="D85" i="1"/>
  <c r="E85" i="1"/>
  <c r="F85" i="1"/>
  <c r="G85" i="1"/>
  <c r="H85" i="1"/>
  <c r="I85" i="1"/>
  <c r="J85" i="1"/>
  <c r="B85" i="1"/>
  <c r="B86" i="1"/>
  <c r="B87" i="1"/>
  <c r="B88" i="1"/>
  <c r="B89" i="1"/>
  <c r="B90" i="1"/>
  <c r="B84" i="1"/>
  <c r="C76" i="1"/>
  <c r="D76" i="1"/>
  <c r="E76" i="1"/>
  <c r="F76" i="1"/>
  <c r="G76" i="1"/>
  <c r="H76" i="1"/>
  <c r="I76" i="1"/>
  <c r="J76" i="1"/>
  <c r="J81" i="1"/>
  <c r="I81" i="1"/>
  <c r="H81" i="1"/>
  <c r="D39" i="4"/>
  <c r="E39" i="4"/>
  <c r="F39" i="4"/>
  <c r="G39" i="4"/>
  <c r="H39" i="4"/>
  <c r="I39" i="4"/>
  <c r="J39" i="4"/>
  <c r="F6" i="7" l="1"/>
  <c r="G6" i="7" s="1"/>
  <c r="H6" i="7" s="1"/>
  <c r="I6" i="7" s="1"/>
  <c r="J6" i="7" s="1"/>
  <c r="E9" i="7"/>
  <c r="D9" i="7"/>
  <c r="I10" i="5" s="1"/>
  <c r="C9" i="7"/>
  <c r="H10" i="5" s="1"/>
  <c r="F5" i="7"/>
  <c r="B4" i="7"/>
  <c r="B13" i="7" s="1"/>
  <c r="F4" i="7"/>
  <c r="F13" i="7" s="1"/>
  <c r="K6" i="7" l="1"/>
  <c r="L6" i="7" s="1"/>
  <c r="M6" i="7" s="1"/>
  <c r="N6" i="7" s="1"/>
  <c r="O6" i="7" s="1"/>
  <c r="P6" i="7" s="1"/>
  <c r="Q6" i="7" s="1"/>
  <c r="R6" i="7" s="1"/>
  <c r="S6" i="7" s="1"/>
  <c r="T6" i="7" s="1"/>
  <c r="K7" i="7"/>
  <c r="L7" i="7" s="1"/>
  <c r="M7" i="7" s="1"/>
  <c r="N7" i="7" s="1"/>
  <c r="O7" i="7" s="1"/>
  <c r="P7" i="7" s="1"/>
  <c r="Q7" i="7" s="1"/>
  <c r="R7" i="7" s="1"/>
  <c r="S7" i="7" s="1"/>
  <c r="T7" i="7" s="1"/>
  <c r="D48" i="7"/>
  <c r="D59" i="7" s="1"/>
  <c r="F14" i="7"/>
  <c r="C60" i="7"/>
  <c r="C61" i="7" s="1"/>
  <c r="J10" i="5"/>
  <c r="D30" i="7"/>
  <c r="D47" i="7"/>
  <c r="D58" i="7" s="1"/>
  <c r="D31" i="7"/>
  <c r="D37" i="7" s="1"/>
  <c r="I1" i="2"/>
  <c r="F1" i="2" s="1"/>
  <c r="I1" i="3"/>
  <c r="H1" i="3" s="1"/>
  <c r="I1" i="1"/>
  <c r="C1" i="1" s="1"/>
  <c r="Z65" i="3"/>
  <c r="AA45" i="3"/>
  <c r="AA49" i="3"/>
  <c r="AA50" i="3"/>
  <c r="J68" i="3"/>
  <c r="J8" i="3"/>
  <c r="J15" i="5" s="1"/>
  <c r="J10" i="3"/>
  <c r="J66" i="3" s="1"/>
  <c r="J11" i="3"/>
  <c r="J12" i="3"/>
  <c r="J13" i="3"/>
  <c r="J14" i="3"/>
  <c r="J15" i="3"/>
  <c r="J16" i="3"/>
  <c r="J17" i="3"/>
  <c r="J18" i="3"/>
  <c r="J19" i="3"/>
  <c r="J67" i="3" s="1"/>
  <c r="J22" i="3"/>
  <c r="J23" i="3"/>
  <c r="J24" i="3"/>
  <c r="J25" i="3"/>
  <c r="J26" i="3"/>
  <c r="J27" i="3"/>
  <c r="J28" i="3"/>
  <c r="J29" i="3"/>
  <c r="J33" i="3"/>
  <c r="J34" i="3"/>
  <c r="J35" i="3"/>
  <c r="J36" i="3"/>
  <c r="J37" i="3"/>
  <c r="J38" i="3"/>
  <c r="J39" i="3"/>
  <c r="J43" i="3"/>
  <c r="AA43" i="3" s="1"/>
  <c r="J44" i="3"/>
  <c r="AA44" i="3" s="1"/>
  <c r="J45" i="3"/>
  <c r="J46" i="3"/>
  <c r="AA46" i="3" s="1"/>
  <c r="J47" i="3"/>
  <c r="AA47" i="3" s="1"/>
  <c r="J48" i="3"/>
  <c r="J49" i="3"/>
  <c r="J50" i="3"/>
  <c r="J51" i="3"/>
  <c r="AA51" i="3" s="1"/>
  <c r="J52" i="3"/>
  <c r="AA52" i="3" s="1"/>
  <c r="J53" i="3"/>
  <c r="AA53" i="3" s="1"/>
  <c r="J54" i="3"/>
  <c r="AA54" i="3" s="1"/>
  <c r="J55" i="3"/>
  <c r="AA55" i="3" s="1"/>
  <c r="J56" i="3"/>
  <c r="AA56" i="3" s="1"/>
  <c r="J58" i="3"/>
  <c r="AA48" i="3" s="1"/>
  <c r="J59" i="3"/>
  <c r="J60" i="3"/>
  <c r="J61" i="3"/>
  <c r="S61" i="3"/>
  <c r="S56" i="3"/>
  <c r="S40" i="3"/>
  <c r="S30" i="3"/>
  <c r="S20" i="3"/>
  <c r="S59" i="2"/>
  <c r="J81" i="2"/>
  <c r="J123" i="2" s="1"/>
  <c r="J82" i="2"/>
  <c r="J83" i="2"/>
  <c r="J84" i="2"/>
  <c r="J85" i="2"/>
  <c r="J86" i="2"/>
  <c r="J87" i="2"/>
  <c r="J88" i="2"/>
  <c r="J89" i="2"/>
  <c r="J91" i="2"/>
  <c r="J125" i="2" s="1"/>
  <c r="J92" i="2"/>
  <c r="J93" i="2"/>
  <c r="J94" i="2"/>
  <c r="J95" i="2"/>
  <c r="J96" i="2"/>
  <c r="J126" i="2" s="1"/>
  <c r="J97" i="2"/>
  <c r="J98" i="2"/>
  <c r="J99" i="2"/>
  <c r="J103" i="2"/>
  <c r="J104" i="2"/>
  <c r="J130" i="2" s="1"/>
  <c r="J105" i="2"/>
  <c r="J106" i="2"/>
  <c r="J107" i="2"/>
  <c r="J108" i="2"/>
  <c r="J131" i="2" s="1"/>
  <c r="J110" i="2"/>
  <c r="J60" i="2"/>
  <c r="J61" i="2"/>
  <c r="J62" i="2"/>
  <c r="J63" i="2"/>
  <c r="J64" i="2"/>
  <c r="J65" i="2"/>
  <c r="J117" i="2" s="1"/>
  <c r="J66" i="2"/>
  <c r="J67" i="2"/>
  <c r="J69" i="2"/>
  <c r="J119" i="2" s="1"/>
  <c r="J70" i="2"/>
  <c r="J71" i="2"/>
  <c r="J120" i="2" s="1"/>
  <c r="J72" i="2"/>
  <c r="J73" i="2"/>
  <c r="J74" i="2"/>
  <c r="J75" i="2"/>
  <c r="J76" i="2"/>
  <c r="J77" i="2"/>
  <c r="J45" i="2"/>
  <c r="J44" i="2"/>
  <c r="J13" i="2"/>
  <c r="J23" i="2" s="1"/>
  <c r="F9" i="7" l="1"/>
  <c r="G9" i="7"/>
  <c r="H1" i="2"/>
  <c r="C1" i="2"/>
  <c r="J54" i="2"/>
  <c r="G1" i="2"/>
  <c r="D1" i="1"/>
  <c r="E1" i="1"/>
  <c r="H1" i="1"/>
  <c r="D1" i="2"/>
  <c r="E1" i="2"/>
  <c r="J72" i="3"/>
  <c r="J14" i="5"/>
  <c r="J19" i="5" s="1"/>
  <c r="C1" i="3"/>
  <c r="AA58" i="3"/>
  <c r="J20" i="3"/>
  <c r="J30" i="3" s="1"/>
  <c r="J71" i="3"/>
  <c r="D1" i="3"/>
  <c r="J70" i="3"/>
  <c r="E1" i="3"/>
  <c r="J40" i="3"/>
  <c r="J18" i="5" s="1"/>
  <c r="J69" i="3"/>
  <c r="F1" i="3"/>
  <c r="G1" i="3"/>
  <c r="F1" i="1"/>
  <c r="G1" i="1"/>
  <c r="J109" i="2"/>
  <c r="J100" i="2"/>
  <c r="J55" i="2"/>
  <c r="J90" i="2"/>
  <c r="J78" i="2"/>
  <c r="J68" i="2"/>
  <c r="H9" i="7" l="1"/>
  <c r="E60" i="7"/>
  <c r="E61" i="7" s="1"/>
  <c r="L10" i="5"/>
  <c r="K10" i="5"/>
  <c r="D60" i="7"/>
  <c r="D61" i="7" s="1"/>
  <c r="J124" i="2"/>
  <c r="J6" i="4"/>
  <c r="J9" i="4"/>
  <c r="J8" i="4"/>
  <c r="J7" i="4" s="1"/>
  <c r="J5" i="4"/>
  <c r="J26" i="4"/>
  <c r="J20" i="5"/>
  <c r="J10" i="4"/>
  <c r="J118" i="2"/>
  <c r="J121" i="2"/>
  <c r="J127" i="2"/>
  <c r="J101" i="2"/>
  <c r="J102" i="2"/>
  <c r="J15" i="4" s="1"/>
  <c r="J79" i="2"/>
  <c r="K18" i="5" l="1"/>
  <c r="E62" i="7"/>
  <c r="L20" i="5" s="1"/>
  <c r="D62" i="7"/>
  <c r="K20" i="5" s="1"/>
  <c r="F60" i="7"/>
  <c r="F61" i="7" s="1"/>
  <c r="F62" i="7" s="1"/>
  <c r="M20" i="5" s="1"/>
  <c r="M10" i="5"/>
  <c r="L18" i="5"/>
  <c r="I9" i="7"/>
  <c r="J43" i="4"/>
  <c r="J20" i="4"/>
  <c r="J29" i="4"/>
  <c r="J21" i="4"/>
  <c r="J40" i="4"/>
  <c r="J38" i="4" s="1"/>
  <c r="J37" i="4"/>
  <c r="J32" i="4"/>
  <c r="J17" i="4"/>
  <c r="S96" i="2"/>
  <c r="J16" i="4"/>
  <c r="J19" i="4"/>
  <c r="J18" i="4" s="1"/>
  <c r="J4" i="4"/>
  <c r="S97" i="2"/>
  <c r="S93" i="2"/>
  <c r="S90" i="2"/>
  <c r="S91" i="2"/>
  <c r="S100" i="2"/>
  <c r="S84" i="2"/>
  <c r="S68" i="2"/>
  <c r="J122" i="2"/>
  <c r="S81" i="2"/>
  <c r="J128" i="2"/>
  <c r="S87" i="2"/>
  <c r="S109" i="2"/>
  <c r="J22" i="4"/>
  <c r="J129" i="2"/>
  <c r="S83" i="2"/>
  <c r="S94" i="2"/>
  <c r="S95" i="2"/>
  <c r="S99" i="2"/>
  <c r="S89" i="2"/>
  <c r="S101" i="2"/>
  <c r="S92" i="2"/>
  <c r="S86" i="2"/>
  <c r="S82" i="2"/>
  <c r="S85" i="2"/>
  <c r="S88" i="2"/>
  <c r="S98" i="2"/>
  <c r="S108" i="2"/>
  <c r="S107" i="2"/>
  <c r="S105" i="2"/>
  <c r="S110" i="2"/>
  <c r="S103" i="2"/>
  <c r="S106" i="2"/>
  <c r="S104" i="2"/>
  <c r="J111" i="2"/>
  <c r="J132" i="2" s="1"/>
  <c r="S79" i="2"/>
  <c r="S74" i="2"/>
  <c r="S66" i="2"/>
  <c r="S63" i="2"/>
  <c r="S64" i="2"/>
  <c r="S60" i="2"/>
  <c r="S71" i="2"/>
  <c r="S76" i="2"/>
  <c r="S70" i="2"/>
  <c r="S67" i="2"/>
  <c r="S73" i="2"/>
  <c r="S61" i="2"/>
  <c r="S62" i="2"/>
  <c r="S77" i="2"/>
  <c r="S72" i="2"/>
  <c r="S65" i="2"/>
  <c r="S69" i="2"/>
  <c r="S75" i="2"/>
  <c r="S78" i="2"/>
  <c r="J9" i="7" l="1"/>
  <c r="G60" i="7"/>
  <c r="G61" i="7" s="1"/>
  <c r="N10" i="5"/>
  <c r="M18" i="5"/>
  <c r="J14" i="4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2" i="3"/>
  <c r="AA23" i="3"/>
  <c r="AA24" i="3"/>
  <c r="AA25" i="3"/>
  <c r="AA26" i="3"/>
  <c r="AA27" i="3"/>
  <c r="AA28" i="3"/>
  <c r="AA29" i="3"/>
  <c r="AA30" i="3"/>
  <c r="AA33" i="3"/>
  <c r="AA34" i="3"/>
  <c r="AA35" i="3"/>
  <c r="AA36" i="3"/>
  <c r="AA37" i="3"/>
  <c r="AA38" i="3"/>
  <c r="AA39" i="3"/>
  <c r="AA40" i="3"/>
  <c r="AA6" i="3"/>
  <c r="O10" i="5" l="1"/>
  <c r="O18" i="5" s="1"/>
  <c r="H60" i="7"/>
  <c r="H61" i="7" s="1"/>
  <c r="H62" i="7" s="1"/>
  <c r="O20" i="5" s="1"/>
  <c r="K9" i="7"/>
  <c r="N18" i="5"/>
  <c r="G62" i="7"/>
  <c r="N20" i="5" s="1"/>
  <c r="J9" i="5"/>
  <c r="E5" i="7" s="1"/>
  <c r="C31" i="7" s="1"/>
  <c r="C37" i="7" s="1"/>
  <c r="D9" i="5"/>
  <c r="E9" i="5"/>
  <c r="F9" i="5"/>
  <c r="G9" i="5"/>
  <c r="H9" i="5"/>
  <c r="C5" i="7" s="1"/>
  <c r="C14" i="7" s="1"/>
  <c r="I9" i="5"/>
  <c r="D5" i="7" s="1"/>
  <c r="D14" i="7" s="1"/>
  <c r="C9" i="5"/>
  <c r="J8" i="5"/>
  <c r="E4" i="7" s="1"/>
  <c r="C30" i="7" s="1"/>
  <c r="R58" i="1"/>
  <c r="S31" i="1"/>
  <c r="J37" i="1"/>
  <c r="J38" i="1"/>
  <c r="J39" i="1"/>
  <c r="J40" i="1"/>
  <c r="J41" i="1"/>
  <c r="J42" i="1"/>
  <c r="J43" i="1"/>
  <c r="C49" i="7" s="1"/>
  <c r="C50" i="7" s="1"/>
  <c r="J44" i="1"/>
  <c r="J45" i="1"/>
  <c r="J46" i="1"/>
  <c r="J47" i="1"/>
  <c r="J48" i="1"/>
  <c r="J49" i="1"/>
  <c r="J50" i="1"/>
  <c r="J52" i="1"/>
  <c r="J53" i="1"/>
  <c r="J54" i="1"/>
  <c r="J36" i="1"/>
  <c r="J33" i="1"/>
  <c r="J34" i="1"/>
  <c r="J35" i="1"/>
  <c r="J32" i="1"/>
  <c r="E7" i="6"/>
  <c r="B9" i="6"/>
  <c r="L9" i="5"/>
  <c r="L8" i="5"/>
  <c r="Y65" i="3"/>
  <c r="U65" i="3"/>
  <c r="V65" i="3"/>
  <c r="W65" i="3"/>
  <c r="X65" i="3"/>
  <c r="T65" i="3"/>
  <c r="U6" i="3"/>
  <c r="V6" i="3"/>
  <c r="W6" i="3"/>
  <c r="X6" i="3"/>
  <c r="Y6" i="3"/>
  <c r="Z6" i="3"/>
  <c r="T6" i="3"/>
  <c r="O20" i="3"/>
  <c r="O30" i="3" s="1"/>
  <c r="P20" i="3"/>
  <c r="P30" i="3" s="1"/>
  <c r="R61" i="3"/>
  <c r="N61" i="3"/>
  <c r="O61" i="3"/>
  <c r="P61" i="3"/>
  <c r="Q61" i="3"/>
  <c r="N56" i="3"/>
  <c r="O56" i="3"/>
  <c r="P56" i="3"/>
  <c r="Q56" i="3"/>
  <c r="N40" i="3"/>
  <c r="O40" i="3"/>
  <c r="P40" i="3"/>
  <c r="Q40" i="3"/>
  <c r="N20" i="3"/>
  <c r="N30" i="3" s="1"/>
  <c r="M61" i="3"/>
  <c r="L61" i="3"/>
  <c r="M56" i="3"/>
  <c r="L56" i="3"/>
  <c r="M40" i="3"/>
  <c r="L40" i="3"/>
  <c r="Q20" i="3"/>
  <c r="Q30" i="3" s="1"/>
  <c r="R56" i="3"/>
  <c r="R40" i="3"/>
  <c r="R20" i="3"/>
  <c r="R30" i="3" s="1"/>
  <c r="M58" i="1"/>
  <c r="N58" i="1"/>
  <c r="O58" i="1"/>
  <c r="P58" i="1"/>
  <c r="Q58" i="1"/>
  <c r="L58" i="1"/>
  <c r="R31" i="1"/>
  <c r="Q31" i="1"/>
  <c r="P31" i="1"/>
  <c r="O31" i="1"/>
  <c r="N31" i="1"/>
  <c r="M31" i="1"/>
  <c r="L31" i="1"/>
  <c r="M59" i="2"/>
  <c r="N59" i="2"/>
  <c r="O59" i="2"/>
  <c r="P59" i="2"/>
  <c r="Q59" i="2"/>
  <c r="R59" i="2"/>
  <c r="L59" i="2"/>
  <c r="I52" i="1"/>
  <c r="I53" i="1"/>
  <c r="I54" i="1"/>
  <c r="I34" i="1"/>
  <c r="I61" i="1" s="1"/>
  <c r="I35" i="1"/>
  <c r="I36" i="1"/>
  <c r="I37" i="1"/>
  <c r="I64" i="1" s="1"/>
  <c r="I38" i="1"/>
  <c r="I65" i="1" s="1"/>
  <c r="I39" i="1"/>
  <c r="I40" i="1"/>
  <c r="I67" i="1" s="1"/>
  <c r="I42" i="1"/>
  <c r="I43" i="1"/>
  <c r="I44" i="1"/>
  <c r="I16" i="5" s="1"/>
  <c r="I45" i="1"/>
  <c r="I17" i="5" s="1"/>
  <c r="I46" i="1"/>
  <c r="I47" i="1"/>
  <c r="I33" i="1"/>
  <c r="I32" i="1"/>
  <c r="I103" i="2"/>
  <c r="I104" i="2"/>
  <c r="I130" i="2" s="1"/>
  <c r="R130" i="2" s="1"/>
  <c r="I105" i="2"/>
  <c r="I106" i="2"/>
  <c r="I107" i="2"/>
  <c r="I108" i="2"/>
  <c r="I131" i="2" s="1"/>
  <c r="R131" i="2" s="1"/>
  <c r="I110" i="2"/>
  <c r="I91" i="2"/>
  <c r="I125" i="2" s="1"/>
  <c r="R125" i="2" s="1"/>
  <c r="I92" i="2"/>
  <c r="I93" i="2"/>
  <c r="I94" i="2"/>
  <c r="I95" i="2"/>
  <c r="I96" i="2"/>
  <c r="I126" i="2" s="1"/>
  <c r="R126" i="2" s="1"/>
  <c r="I97" i="2"/>
  <c r="I98" i="2"/>
  <c r="I99" i="2"/>
  <c r="I81" i="2"/>
  <c r="I123" i="2" s="1"/>
  <c r="R123" i="2" s="1"/>
  <c r="I82" i="2"/>
  <c r="I83" i="2"/>
  <c r="I84" i="2"/>
  <c r="I85" i="2"/>
  <c r="I86" i="2"/>
  <c r="I87" i="2"/>
  <c r="I88" i="2"/>
  <c r="I89" i="2"/>
  <c r="I69" i="2"/>
  <c r="I119" i="2" s="1"/>
  <c r="R119" i="2" s="1"/>
  <c r="I70" i="2"/>
  <c r="I71" i="2"/>
  <c r="I120" i="2" s="1"/>
  <c r="R120" i="2" s="1"/>
  <c r="I72" i="2"/>
  <c r="I73" i="2"/>
  <c r="I74" i="2"/>
  <c r="I75" i="2"/>
  <c r="I76" i="2"/>
  <c r="I77" i="2"/>
  <c r="I60" i="2"/>
  <c r="I61" i="2"/>
  <c r="I62" i="2"/>
  <c r="I63" i="2"/>
  <c r="I64" i="2"/>
  <c r="I65" i="2"/>
  <c r="I117" i="2" s="1"/>
  <c r="R117" i="2" s="1"/>
  <c r="I66" i="2"/>
  <c r="I67" i="2"/>
  <c r="I60" i="7" l="1"/>
  <c r="I61" i="7" s="1"/>
  <c r="P10" i="5"/>
  <c r="L9" i="7"/>
  <c r="C47" i="7"/>
  <c r="C58" i="7" s="1"/>
  <c r="E13" i="7"/>
  <c r="C48" i="7"/>
  <c r="C59" i="7" s="1"/>
  <c r="E14" i="7"/>
  <c r="Z26" i="5"/>
  <c r="M9" i="5"/>
  <c r="G5" i="7"/>
  <c r="S47" i="1"/>
  <c r="S52" i="1"/>
  <c r="J31" i="4"/>
  <c r="J30" i="4" s="1"/>
  <c r="J28" i="4"/>
  <c r="J27" i="4" s="1"/>
  <c r="J25" i="4"/>
  <c r="J24" i="4"/>
  <c r="J42" i="4"/>
  <c r="J41" i="4" s="1"/>
  <c r="J36" i="4"/>
  <c r="J35" i="4" s="1"/>
  <c r="S46" i="1"/>
  <c r="S54" i="1"/>
  <c r="S53" i="1"/>
  <c r="I31" i="4"/>
  <c r="I25" i="4"/>
  <c r="I28" i="4"/>
  <c r="I8" i="5"/>
  <c r="H8" i="5" s="1"/>
  <c r="M8" i="5"/>
  <c r="G4" i="7"/>
  <c r="S41" i="1"/>
  <c r="S43" i="1"/>
  <c r="S33" i="1"/>
  <c r="J66" i="1"/>
  <c r="S39" i="1"/>
  <c r="J65" i="1"/>
  <c r="R65" i="1" s="1"/>
  <c r="S38" i="1"/>
  <c r="J63" i="1"/>
  <c r="S36" i="1"/>
  <c r="S45" i="1"/>
  <c r="J17" i="5"/>
  <c r="J21" i="5" s="1"/>
  <c r="J64" i="1"/>
  <c r="R64" i="1" s="1"/>
  <c r="S37" i="1"/>
  <c r="S44" i="1"/>
  <c r="J16" i="5"/>
  <c r="J59" i="1"/>
  <c r="S32" i="1"/>
  <c r="S51" i="1"/>
  <c r="S42" i="1"/>
  <c r="J62" i="1"/>
  <c r="S35" i="1"/>
  <c r="J61" i="1"/>
  <c r="S34" i="1"/>
  <c r="J34" i="4"/>
  <c r="S48" i="1"/>
  <c r="J67" i="1"/>
  <c r="R67" i="1" s="1"/>
  <c r="S40" i="1"/>
  <c r="R35" i="1"/>
  <c r="R61" i="1"/>
  <c r="R34" i="1"/>
  <c r="J60" i="1"/>
  <c r="R44" i="1"/>
  <c r="R45" i="1"/>
  <c r="R36" i="1"/>
  <c r="R54" i="1"/>
  <c r="R47" i="1"/>
  <c r="R33" i="1"/>
  <c r="I63" i="1"/>
  <c r="R43" i="1"/>
  <c r="I60" i="1"/>
  <c r="R40" i="1"/>
  <c r="R53" i="1"/>
  <c r="R39" i="1"/>
  <c r="R52" i="1"/>
  <c r="R37" i="1"/>
  <c r="I59" i="1"/>
  <c r="I66" i="1"/>
  <c r="I62" i="1"/>
  <c r="I109" i="2"/>
  <c r="I102" i="2" s="1"/>
  <c r="R46" i="1"/>
  <c r="R32" i="1"/>
  <c r="R51" i="1"/>
  <c r="R42" i="1"/>
  <c r="R38" i="1"/>
  <c r="I100" i="2"/>
  <c r="I15" i="4" s="1"/>
  <c r="I78" i="2"/>
  <c r="I90" i="2"/>
  <c r="I68" i="2"/>
  <c r="A6" i="3"/>
  <c r="M20" i="3"/>
  <c r="M30" i="3" s="1"/>
  <c r="L20" i="3"/>
  <c r="L30" i="3" s="1"/>
  <c r="I34" i="2"/>
  <c r="I44" i="2" s="1"/>
  <c r="H34" i="2"/>
  <c r="H44" i="2" s="1"/>
  <c r="G34" i="2"/>
  <c r="G44" i="2" s="1"/>
  <c r="G13" i="2"/>
  <c r="G23" i="2" s="1"/>
  <c r="H13" i="2"/>
  <c r="H23" i="2" s="1"/>
  <c r="I13" i="2"/>
  <c r="I23" i="2" s="1"/>
  <c r="F13" i="2"/>
  <c r="F23" i="2" s="1"/>
  <c r="E13" i="2"/>
  <c r="E23" i="2" s="1"/>
  <c r="D13" i="2"/>
  <c r="D23" i="2" s="1"/>
  <c r="C13" i="2"/>
  <c r="C23" i="2" s="1"/>
  <c r="G45" i="2"/>
  <c r="H45" i="2"/>
  <c r="I45" i="2"/>
  <c r="C45" i="2"/>
  <c r="D45" i="2"/>
  <c r="E45" i="2"/>
  <c r="F45" i="2"/>
  <c r="F34" i="2"/>
  <c r="F44" i="2" s="1"/>
  <c r="D34" i="2"/>
  <c r="D44" i="2" s="1"/>
  <c r="E34" i="2"/>
  <c r="E44" i="2" s="1"/>
  <c r="C34" i="2"/>
  <c r="C44" i="2" s="1"/>
  <c r="I21" i="1"/>
  <c r="I48" i="1" s="1"/>
  <c r="H21" i="1"/>
  <c r="H14" i="1"/>
  <c r="G21" i="1"/>
  <c r="I14" i="1"/>
  <c r="I41" i="1" s="1"/>
  <c r="R41" i="1" s="1"/>
  <c r="G14" i="1"/>
  <c r="F21" i="1"/>
  <c r="F14" i="1"/>
  <c r="E21" i="1"/>
  <c r="D21" i="1"/>
  <c r="C21" i="1"/>
  <c r="E14" i="1"/>
  <c r="D14" i="1"/>
  <c r="C14" i="1"/>
  <c r="D4" i="7" l="1"/>
  <c r="D13" i="7" s="1"/>
  <c r="J60" i="7"/>
  <c r="J61" i="7" s="1"/>
  <c r="J62" i="7" s="1"/>
  <c r="Q20" i="5" s="1"/>
  <c r="Q10" i="5"/>
  <c r="M9" i="7"/>
  <c r="P18" i="5"/>
  <c r="I62" i="7"/>
  <c r="P20" i="5" s="1"/>
  <c r="E31" i="7"/>
  <c r="E37" i="7" s="1"/>
  <c r="G14" i="7"/>
  <c r="E30" i="7"/>
  <c r="G13" i="7"/>
  <c r="G8" i="5"/>
  <c r="F8" i="5" s="1"/>
  <c r="E8" i="5" s="1"/>
  <c r="D8" i="5" s="1"/>
  <c r="C8" i="5" s="1"/>
  <c r="C4" i="7"/>
  <c r="C13" i="7" s="1"/>
  <c r="E47" i="7"/>
  <c r="E58" i="7" s="1"/>
  <c r="J12" i="5"/>
  <c r="J13" i="5" s="1"/>
  <c r="N9" i="5"/>
  <c r="H5" i="7"/>
  <c r="E48" i="7"/>
  <c r="E59" i="7" s="1"/>
  <c r="I12" i="5"/>
  <c r="I13" i="5" s="1"/>
  <c r="I36" i="4"/>
  <c r="I42" i="4"/>
  <c r="I124" i="2"/>
  <c r="I6" i="4"/>
  <c r="I9" i="4"/>
  <c r="I37" i="4"/>
  <c r="I32" i="4"/>
  <c r="I30" i="4" s="1"/>
  <c r="I40" i="4"/>
  <c r="I38" i="4" s="1"/>
  <c r="I17" i="4"/>
  <c r="I8" i="4"/>
  <c r="I5" i="4"/>
  <c r="I24" i="4"/>
  <c r="I26" i="4"/>
  <c r="N8" i="5"/>
  <c r="H4" i="7"/>
  <c r="R124" i="2"/>
  <c r="R59" i="1"/>
  <c r="R63" i="1"/>
  <c r="R66" i="1"/>
  <c r="J26" i="5"/>
  <c r="R62" i="1"/>
  <c r="I20" i="5"/>
  <c r="C41" i="1"/>
  <c r="G48" i="1"/>
  <c r="G41" i="1"/>
  <c r="R60" i="1"/>
  <c r="E41" i="1"/>
  <c r="C48" i="1"/>
  <c r="H41" i="1"/>
  <c r="H48" i="1"/>
  <c r="I56" i="3"/>
  <c r="I121" i="2"/>
  <c r="I21" i="4"/>
  <c r="I127" i="2"/>
  <c r="I10" i="4"/>
  <c r="I129" i="2"/>
  <c r="I22" i="4"/>
  <c r="G56" i="3"/>
  <c r="E56" i="3"/>
  <c r="F56" i="3"/>
  <c r="G58" i="3"/>
  <c r="G72" i="3" s="1"/>
  <c r="C60" i="3"/>
  <c r="I58" i="3"/>
  <c r="G55" i="3"/>
  <c r="E54" i="3"/>
  <c r="C53" i="3"/>
  <c r="G51" i="3"/>
  <c r="E50" i="3"/>
  <c r="C49" i="3"/>
  <c r="G47" i="3"/>
  <c r="E46" i="3"/>
  <c r="C45" i="3"/>
  <c r="G43" i="3"/>
  <c r="G70" i="3" s="1"/>
  <c r="I53" i="3"/>
  <c r="I45" i="3"/>
  <c r="G33" i="3"/>
  <c r="C35" i="3"/>
  <c r="E36" i="3"/>
  <c r="G37" i="3"/>
  <c r="C39" i="3"/>
  <c r="I37" i="3"/>
  <c r="G22" i="3"/>
  <c r="C24" i="3"/>
  <c r="E25" i="3"/>
  <c r="G26" i="3"/>
  <c r="X26" i="3" s="1"/>
  <c r="C28" i="3"/>
  <c r="E29" i="3"/>
  <c r="I27" i="3"/>
  <c r="I68" i="3" s="1"/>
  <c r="Z68" i="3" s="1"/>
  <c r="H10" i="3"/>
  <c r="D12" i="3"/>
  <c r="F13" i="3"/>
  <c r="H14" i="3"/>
  <c r="D16" i="3"/>
  <c r="F17" i="3"/>
  <c r="H18" i="3"/>
  <c r="I12" i="3"/>
  <c r="I10" i="3"/>
  <c r="G54" i="3"/>
  <c r="C52" i="3"/>
  <c r="E45" i="3"/>
  <c r="E33" i="3"/>
  <c r="C29" i="3"/>
  <c r="D13" i="3"/>
  <c r="D17" i="3"/>
  <c r="I8" i="3"/>
  <c r="H58" i="3"/>
  <c r="H72" i="3" s="1"/>
  <c r="D60" i="3"/>
  <c r="F55" i="3"/>
  <c r="D54" i="3"/>
  <c r="H52" i="3"/>
  <c r="F51" i="3"/>
  <c r="D50" i="3"/>
  <c r="H48" i="3"/>
  <c r="F47" i="3"/>
  <c r="D46" i="3"/>
  <c r="H44" i="3"/>
  <c r="H71" i="3" s="1"/>
  <c r="X71" i="3" s="1"/>
  <c r="F43" i="3"/>
  <c r="F70" i="3" s="1"/>
  <c r="I52" i="3"/>
  <c r="I44" i="3"/>
  <c r="H33" i="3"/>
  <c r="D35" i="3"/>
  <c r="F36" i="3"/>
  <c r="H37" i="3"/>
  <c r="D39" i="3"/>
  <c r="I36" i="3"/>
  <c r="H22" i="3"/>
  <c r="D24" i="3"/>
  <c r="F25" i="3"/>
  <c r="H26" i="3"/>
  <c r="D28" i="3"/>
  <c r="F29" i="3"/>
  <c r="I28" i="3"/>
  <c r="Z28" i="3" s="1"/>
  <c r="C11" i="3"/>
  <c r="E12" i="3"/>
  <c r="G13" i="3"/>
  <c r="C15" i="3"/>
  <c r="E16" i="3"/>
  <c r="G17" i="3"/>
  <c r="C19" i="3"/>
  <c r="C67" i="3" s="1"/>
  <c r="I13" i="3"/>
  <c r="Z13" i="3" s="1"/>
  <c r="D8" i="3"/>
  <c r="D15" i="5" s="1"/>
  <c r="G59" i="3"/>
  <c r="G46" i="3"/>
  <c r="E37" i="3"/>
  <c r="C59" i="3"/>
  <c r="E60" i="3"/>
  <c r="E55" i="3"/>
  <c r="C54" i="3"/>
  <c r="G52" i="3"/>
  <c r="X52" i="3" s="1"/>
  <c r="E51" i="3"/>
  <c r="C50" i="3"/>
  <c r="G48" i="3"/>
  <c r="E47" i="3"/>
  <c r="C46" i="3"/>
  <c r="G44" i="3"/>
  <c r="G71" i="3" s="1"/>
  <c r="E43" i="3"/>
  <c r="E70" i="3" s="1"/>
  <c r="I51" i="3"/>
  <c r="I43" i="3"/>
  <c r="I70" i="3" s="1"/>
  <c r="Z70" i="3" s="1"/>
  <c r="C34" i="3"/>
  <c r="C69" i="3" s="1"/>
  <c r="E35" i="3"/>
  <c r="G36" i="3"/>
  <c r="C38" i="3"/>
  <c r="E39" i="3"/>
  <c r="I35" i="3"/>
  <c r="Z35" i="3" s="1"/>
  <c r="C23" i="3"/>
  <c r="E24" i="3"/>
  <c r="G25" i="3"/>
  <c r="C27" i="3"/>
  <c r="C68" i="3" s="1"/>
  <c r="E28" i="3"/>
  <c r="G29" i="3"/>
  <c r="I29" i="3"/>
  <c r="D11" i="3"/>
  <c r="F12" i="3"/>
  <c r="H13" i="3"/>
  <c r="D15" i="3"/>
  <c r="F16" i="3"/>
  <c r="H17" i="3"/>
  <c r="D19" i="3"/>
  <c r="D67" i="3" s="1"/>
  <c r="I14" i="3"/>
  <c r="E8" i="3"/>
  <c r="E15" i="5" s="1"/>
  <c r="E58" i="3"/>
  <c r="E72" i="3" s="1"/>
  <c r="C48" i="3"/>
  <c r="G38" i="3"/>
  <c r="E26" i="3"/>
  <c r="H15" i="3"/>
  <c r="D59" i="3"/>
  <c r="F60" i="3"/>
  <c r="D55" i="3"/>
  <c r="H53" i="3"/>
  <c r="F52" i="3"/>
  <c r="D51" i="3"/>
  <c r="H49" i="3"/>
  <c r="F48" i="3"/>
  <c r="D47" i="3"/>
  <c r="H45" i="3"/>
  <c r="F44" i="3"/>
  <c r="F71" i="3" s="1"/>
  <c r="D43" i="3"/>
  <c r="I50" i="3"/>
  <c r="D34" i="3"/>
  <c r="D69" i="3" s="1"/>
  <c r="T69" i="3" s="1"/>
  <c r="F35" i="3"/>
  <c r="H36" i="3"/>
  <c r="D38" i="3"/>
  <c r="F39" i="3"/>
  <c r="I34" i="3"/>
  <c r="D23" i="3"/>
  <c r="F24" i="3"/>
  <c r="H25" i="3"/>
  <c r="D27" i="3"/>
  <c r="D68" i="3" s="1"/>
  <c r="T68" i="3" s="1"/>
  <c r="F28" i="3"/>
  <c r="H29" i="3"/>
  <c r="Y29" i="3" s="1"/>
  <c r="I22" i="3"/>
  <c r="C10" i="3"/>
  <c r="E11" i="3"/>
  <c r="V11" i="3" s="1"/>
  <c r="G12" i="3"/>
  <c r="C14" i="3"/>
  <c r="T14" i="3" s="1"/>
  <c r="E15" i="3"/>
  <c r="G16" i="3"/>
  <c r="C18" i="3"/>
  <c r="T18" i="3" s="1"/>
  <c r="E19" i="3"/>
  <c r="E67" i="3" s="1"/>
  <c r="I15" i="3"/>
  <c r="Z15" i="3" s="1"/>
  <c r="F8" i="3"/>
  <c r="F15" i="5" s="1"/>
  <c r="E53" i="3"/>
  <c r="C44" i="3"/>
  <c r="I39" i="3"/>
  <c r="Z39" i="3" s="1"/>
  <c r="I25" i="3"/>
  <c r="Z25" i="3" s="1"/>
  <c r="I18" i="3"/>
  <c r="Z18" i="3" s="1"/>
  <c r="C58" i="3"/>
  <c r="C72" i="3" s="1"/>
  <c r="E59" i="3"/>
  <c r="G60" i="3"/>
  <c r="C55" i="3"/>
  <c r="G53" i="3"/>
  <c r="E52" i="3"/>
  <c r="C51" i="3"/>
  <c r="T51" i="3" s="1"/>
  <c r="G49" i="3"/>
  <c r="E48" i="3"/>
  <c r="C47" i="3"/>
  <c r="T47" i="3" s="1"/>
  <c r="G45" i="3"/>
  <c r="X45" i="3" s="1"/>
  <c r="E44" i="3"/>
  <c r="E71" i="3" s="1"/>
  <c r="C43" i="3"/>
  <c r="I49" i="3"/>
  <c r="Z49" i="3" s="1"/>
  <c r="C33" i="3"/>
  <c r="T33" i="3" s="1"/>
  <c r="E34" i="3"/>
  <c r="E69" i="3" s="1"/>
  <c r="U69" i="3" s="1"/>
  <c r="G35" i="3"/>
  <c r="C37" i="3"/>
  <c r="T37" i="3" s="1"/>
  <c r="E38" i="3"/>
  <c r="V38" i="3" s="1"/>
  <c r="G39" i="3"/>
  <c r="I33" i="3"/>
  <c r="Z33" i="3" s="1"/>
  <c r="C22" i="3"/>
  <c r="T22" i="3" s="1"/>
  <c r="E23" i="3"/>
  <c r="G24" i="3"/>
  <c r="C26" i="3"/>
  <c r="T26" i="3" s="1"/>
  <c r="E27" i="3"/>
  <c r="E68" i="3" s="1"/>
  <c r="G28" i="3"/>
  <c r="X28" i="3" s="1"/>
  <c r="I23" i="3"/>
  <c r="D10" i="3"/>
  <c r="F11" i="3"/>
  <c r="H12" i="3"/>
  <c r="D14" i="3"/>
  <c r="F15" i="3"/>
  <c r="H16" i="3"/>
  <c r="D18" i="3"/>
  <c r="F19" i="3"/>
  <c r="F67" i="3" s="1"/>
  <c r="V67" i="3" s="1"/>
  <c r="I16" i="3"/>
  <c r="Z16" i="3" s="1"/>
  <c r="G8" i="3"/>
  <c r="G15" i="5" s="1"/>
  <c r="I47" i="3"/>
  <c r="Z47" i="3" s="1"/>
  <c r="E22" i="3"/>
  <c r="G27" i="3"/>
  <c r="G68" i="3" s="1"/>
  <c r="H11" i="3"/>
  <c r="F18" i="3"/>
  <c r="D58" i="3"/>
  <c r="D72" i="3" s="1"/>
  <c r="T72" i="3" s="1"/>
  <c r="F59" i="3"/>
  <c r="H60" i="3"/>
  <c r="H54" i="3"/>
  <c r="F53" i="3"/>
  <c r="D52" i="3"/>
  <c r="H50" i="3"/>
  <c r="F49" i="3"/>
  <c r="D48" i="3"/>
  <c r="U48" i="3" s="1"/>
  <c r="H46" i="3"/>
  <c r="F45" i="3"/>
  <c r="D44" i="3"/>
  <c r="I48" i="3"/>
  <c r="Z48" i="3" s="1"/>
  <c r="D33" i="3"/>
  <c r="F34" i="3"/>
  <c r="F69" i="3" s="1"/>
  <c r="H35" i="3"/>
  <c r="D37" i="3"/>
  <c r="U37" i="3" s="1"/>
  <c r="F38" i="3"/>
  <c r="H39" i="3"/>
  <c r="D22" i="3"/>
  <c r="F23" i="3"/>
  <c r="H24" i="3"/>
  <c r="D26" i="3"/>
  <c r="F27" i="3"/>
  <c r="F68" i="3" s="1"/>
  <c r="H28" i="3"/>
  <c r="I24" i="3"/>
  <c r="Z24" i="3" s="1"/>
  <c r="E10" i="3"/>
  <c r="G11" i="3"/>
  <c r="C13" i="3"/>
  <c r="T13" i="3" s="1"/>
  <c r="E14" i="3"/>
  <c r="G15" i="3"/>
  <c r="C17" i="3"/>
  <c r="T17" i="3" s="1"/>
  <c r="E18" i="3"/>
  <c r="G19" i="3"/>
  <c r="G67" i="3" s="1"/>
  <c r="W67" i="3" s="1"/>
  <c r="I17" i="3"/>
  <c r="Z17" i="3" s="1"/>
  <c r="H8" i="3"/>
  <c r="H15" i="5" s="1"/>
  <c r="D56" i="3"/>
  <c r="U56" i="3" s="1"/>
  <c r="G50" i="3"/>
  <c r="I55" i="3"/>
  <c r="Z55" i="3" s="1"/>
  <c r="C36" i="3"/>
  <c r="T36" i="3" s="1"/>
  <c r="C25" i="3"/>
  <c r="T25" i="3" s="1"/>
  <c r="F10" i="3"/>
  <c r="H19" i="3"/>
  <c r="H67" i="3" s="1"/>
  <c r="F58" i="3"/>
  <c r="F72" i="3" s="1"/>
  <c r="H59" i="3"/>
  <c r="I59" i="3"/>
  <c r="H55" i="3"/>
  <c r="F54" i="3"/>
  <c r="D53" i="3"/>
  <c r="U53" i="3" s="1"/>
  <c r="H51" i="3"/>
  <c r="F50" i="3"/>
  <c r="D49" i="3"/>
  <c r="U49" i="3" s="1"/>
  <c r="H47" i="3"/>
  <c r="Y47" i="3" s="1"/>
  <c r="F46" i="3"/>
  <c r="D45" i="3"/>
  <c r="H43" i="3"/>
  <c r="H70" i="3" s="1"/>
  <c r="X70" i="3" s="1"/>
  <c r="I54" i="3"/>
  <c r="I46" i="3"/>
  <c r="Z46" i="3" s="1"/>
  <c r="F33" i="3"/>
  <c r="H34" i="3"/>
  <c r="H69" i="3" s="1"/>
  <c r="D36" i="3"/>
  <c r="U36" i="3" s="1"/>
  <c r="F37" i="3"/>
  <c r="H38" i="3"/>
  <c r="I38" i="3"/>
  <c r="Z38" i="3" s="1"/>
  <c r="F22" i="3"/>
  <c r="H23" i="3"/>
  <c r="D25" i="3"/>
  <c r="U25" i="3" s="1"/>
  <c r="F26" i="3"/>
  <c r="W26" i="3" s="1"/>
  <c r="H27" i="3"/>
  <c r="D29" i="3"/>
  <c r="I26" i="3"/>
  <c r="Z26" i="3" s="1"/>
  <c r="G10" i="3"/>
  <c r="C12" i="3"/>
  <c r="T12" i="3" s="1"/>
  <c r="E13" i="3"/>
  <c r="G14" i="3"/>
  <c r="C16" i="3"/>
  <c r="T16" i="3" s="1"/>
  <c r="E17" i="3"/>
  <c r="G18" i="3"/>
  <c r="I11" i="3"/>
  <c r="Z11" i="3" s="1"/>
  <c r="I19" i="3"/>
  <c r="C8" i="3"/>
  <c r="I60" i="3"/>
  <c r="E49" i="3"/>
  <c r="G34" i="3"/>
  <c r="G69" i="3" s="1"/>
  <c r="G23" i="3"/>
  <c r="F14" i="3"/>
  <c r="H56" i="3"/>
  <c r="R48" i="1"/>
  <c r="I34" i="4"/>
  <c r="E48" i="1"/>
  <c r="F41" i="1"/>
  <c r="D48" i="1"/>
  <c r="F48" i="1"/>
  <c r="D41" i="1"/>
  <c r="I118" i="2"/>
  <c r="R110" i="2"/>
  <c r="R107" i="2"/>
  <c r="C54" i="1"/>
  <c r="C36" i="1"/>
  <c r="C63" i="1" s="1"/>
  <c r="C44" i="1"/>
  <c r="C32" i="1"/>
  <c r="C37" i="1"/>
  <c r="C64" i="1" s="1"/>
  <c r="C45" i="1"/>
  <c r="C17" i="5" s="1"/>
  <c r="C52" i="1"/>
  <c r="C35" i="1"/>
  <c r="C62" i="1" s="1"/>
  <c r="C43" i="1"/>
  <c r="C33" i="1"/>
  <c r="C34" i="1"/>
  <c r="C61" i="1" s="1"/>
  <c r="C42" i="1"/>
  <c r="C40" i="1"/>
  <c r="C67" i="1" s="1"/>
  <c r="C46" i="1"/>
  <c r="C53" i="1"/>
  <c r="C39" i="1"/>
  <c r="C66" i="1" s="1"/>
  <c r="C47" i="1"/>
  <c r="C38" i="1"/>
  <c r="C65" i="1" s="1"/>
  <c r="D37" i="1"/>
  <c r="D45" i="1"/>
  <c r="D17" i="5" s="1"/>
  <c r="D54" i="1"/>
  <c r="D36" i="1"/>
  <c r="D44" i="1"/>
  <c r="D16" i="5" s="1"/>
  <c r="D35" i="1"/>
  <c r="D62" i="1" s="1"/>
  <c r="D43" i="1"/>
  <c r="D32" i="1"/>
  <c r="D46" i="1"/>
  <c r="D53" i="1"/>
  <c r="D34" i="1"/>
  <c r="D42" i="1"/>
  <c r="D33" i="1"/>
  <c r="D52" i="1"/>
  <c r="D40" i="1"/>
  <c r="D39" i="1"/>
  <c r="D47" i="1"/>
  <c r="D38" i="1"/>
  <c r="E38" i="1"/>
  <c r="E46" i="1"/>
  <c r="E37" i="1"/>
  <c r="E64" i="1" s="1"/>
  <c r="E45" i="1"/>
  <c r="E17" i="5" s="1"/>
  <c r="E54" i="1"/>
  <c r="E36" i="1"/>
  <c r="E63" i="1" s="1"/>
  <c r="E44" i="1"/>
  <c r="E16" i="5" s="1"/>
  <c r="E34" i="1"/>
  <c r="E42" i="1"/>
  <c r="E39" i="1"/>
  <c r="E35" i="1"/>
  <c r="E62" i="1" s="1"/>
  <c r="E43" i="1"/>
  <c r="E32" i="1"/>
  <c r="E53" i="1"/>
  <c r="E33" i="1"/>
  <c r="E52" i="1"/>
  <c r="E40" i="1"/>
  <c r="E47" i="1"/>
  <c r="F39" i="1"/>
  <c r="F66" i="1" s="1"/>
  <c r="F47" i="1"/>
  <c r="F38" i="1"/>
  <c r="F65" i="1" s="1"/>
  <c r="F46" i="1"/>
  <c r="F35" i="1"/>
  <c r="F62" i="1" s="1"/>
  <c r="F43" i="1"/>
  <c r="F32" i="1"/>
  <c r="F52" i="1"/>
  <c r="F37" i="1"/>
  <c r="F64" i="1" s="1"/>
  <c r="F45" i="1"/>
  <c r="F17" i="5" s="1"/>
  <c r="F54" i="1"/>
  <c r="F36" i="1"/>
  <c r="F63" i="1" s="1"/>
  <c r="F44" i="1"/>
  <c r="F16" i="5" s="1"/>
  <c r="F53" i="1"/>
  <c r="F34" i="1"/>
  <c r="F42" i="1"/>
  <c r="F33" i="1"/>
  <c r="F40" i="1"/>
  <c r="F67" i="1" s="1"/>
  <c r="G52" i="1"/>
  <c r="G40" i="1"/>
  <c r="G39" i="1"/>
  <c r="G47" i="1"/>
  <c r="G38" i="1"/>
  <c r="G46" i="1"/>
  <c r="G54" i="1"/>
  <c r="G36" i="1"/>
  <c r="G63" i="1" s="1"/>
  <c r="G44" i="1"/>
  <c r="G16" i="5" s="1"/>
  <c r="G42" i="1"/>
  <c r="G37" i="1"/>
  <c r="G45" i="1"/>
  <c r="G17" i="5" s="1"/>
  <c r="G33" i="1"/>
  <c r="G35" i="1"/>
  <c r="G43" i="1"/>
  <c r="G32" i="1"/>
  <c r="G53" i="1"/>
  <c r="G34" i="1"/>
  <c r="H52" i="1"/>
  <c r="H40" i="1"/>
  <c r="H39" i="1"/>
  <c r="H47" i="1"/>
  <c r="H37" i="1"/>
  <c r="H64" i="1" s="1"/>
  <c r="H53" i="1"/>
  <c r="H42" i="1"/>
  <c r="H38" i="1"/>
  <c r="H65" i="1" s="1"/>
  <c r="H46" i="1"/>
  <c r="H45" i="1"/>
  <c r="H17" i="5" s="1"/>
  <c r="H54" i="1"/>
  <c r="H36" i="1"/>
  <c r="H44" i="1"/>
  <c r="H16" i="5" s="1"/>
  <c r="H35" i="1"/>
  <c r="H62" i="1" s="1"/>
  <c r="Q62" i="1" s="1"/>
  <c r="H43" i="1"/>
  <c r="H32" i="1"/>
  <c r="H34" i="1"/>
  <c r="H33" i="1"/>
  <c r="R103" i="2"/>
  <c r="R105" i="2"/>
  <c r="R104" i="2"/>
  <c r="R108" i="2"/>
  <c r="R109" i="2"/>
  <c r="R106" i="2"/>
  <c r="I101" i="2"/>
  <c r="I79" i="2"/>
  <c r="F82" i="2"/>
  <c r="F86" i="2"/>
  <c r="F60" i="2"/>
  <c r="F64" i="2"/>
  <c r="F93" i="2"/>
  <c r="F104" i="2"/>
  <c r="F130" i="2" s="1"/>
  <c r="F108" i="2"/>
  <c r="F131" i="2" s="1"/>
  <c r="F92" i="2"/>
  <c r="F96" i="2"/>
  <c r="F126" i="2" s="1"/>
  <c r="F69" i="2"/>
  <c r="F119" i="2" s="1"/>
  <c r="F73" i="2"/>
  <c r="F77" i="2"/>
  <c r="F81" i="2"/>
  <c r="F123" i="2" s="1"/>
  <c r="F85" i="2"/>
  <c r="F89" i="2"/>
  <c r="F63" i="2"/>
  <c r="F67" i="2"/>
  <c r="F103" i="2"/>
  <c r="F107" i="2"/>
  <c r="F91" i="2"/>
  <c r="F125" i="2" s="1"/>
  <c r="F95" i="2"/>
  <c r="F99" i="2"/>
  <c r="F72" i="2"/>
  <c r="F76" i="2"/>
  <c r="F84" i="2"/>
  <c r="F88" i="2"/>
  <c r="F62" i="2"/>
  <c r="F66" i="2"/>
  <c r="F70" i="2"/>
  <c r="F106" i="2"/>
  <c r="F110" i="2"/>
  <c r="F94" i="2"/>
  <c r="F98" i="2"/>
  <c r="F71" i="2"/>
  <c r="F120" i="2" s="1"/>
  <c r="F75" i="2"/>
  <c r="F74" i="2"/>
  <c r="F83" i="2"/>
  <c r="F87" i="2"/>
  <c r="F61" i="2"/>
  <c r="F65" i="2"/>
  <c r="F117" i="2" s="1"/>
  <c r="F105" i="2"/>
  <c r="F97" i="2"/>
  <c r="D81" i="2"/>
  <c r="D123" i="2" s="1"/>
  <c r="D85" i="2"/>
  <c r="D89" i="2"/>
  <c r="D63" i="2"/>
  <c r="D67" i="2"/>
  <c r="D104" i="2"/>
  <c r="D130" i="2" s="1"/>
  <c r="D77" i="2"/>
  <c r="D103" i="2"/>
  <c r="D107" i="2"/>
  <c r="D91" i="2"/>
  <c r="D125" i="2" s="1"/>
  <c r="D95" i="2"/>
  <c r="D99" i="2"/>
  <c r="D72" i="2"/>
  <c r="D76" i="2"/>
  <c r="D84" i="2"/>
  <c r="D88" i="2"/>
  <c r="D62" i="2"/>
  <c r="D66" i="2"/>
  <c r="D75" i="2"/>
  <c r="D65" i="2"/>
  <c r="D117" i="2" s="1"/>
  <c r="D108" i="2"/>
  <c r="D131" i="2" s="1"/>
  <c r="D106" i="2"/>
  <c r="D110" i="2"/>
  <c r="D94" i="2"/>
  <c r="D98" i="2"/>
  <c r="D71" i="2"/>
  <c r="D120" i="2" s="1"/>
  <c r="D61" i="2"/>
  <c r="D83" i="2"/>
  <c r="D87" i="2"/>
  <c r="D105" i="2"/>
  <c r="D93" i="2"/>
  <c r="D97" i="2"/>
  <c r="D70" i="2"/>
  <c r="D74" i="2"/>
  <c r="D73" i="2"/>
  <c r="D82" i="2"/>
  <c r="D86" i="2"/>
  <c r="D60" i="2"/>
  <c r="D64" i="2"/>
  <c r="D92" i="2"/>
  <c r="D96" i="2"/>
  <c r="D126" i="2" s="1"/>
  <c r="D69" i="2"/>
  <c r="D119" i="2" s="1"/>
  <c r="E104" i="2"/>
  <c r="E130" i="2" s="1"/>
  <c r="E108" i="2"/>
  <c r="E131" i="2" s="1"/>
  <c r="E92" i="2"/>
  <c r="E96" i="2"/>
  <c r="E126" i="2" s="1"/>
  <c r="E69" i="2"/>
  <c r="E119" i="2" s="1"/>
  <c r="E73" i="2"/>
  <c r="E77" i="2"/>
  <c r="E81" i="2"/>
  <c r="E123" i="2" s="1"/>
  <c r="E85" i="2"/>
  <c r="E89" i="2"/>
  <c r="E63" i="2"/>
  <c r="E67" i="2"/>
  <c r="E66" i="2"/>
  <c r="E71" i="2"/>
  <c r="E120" i="2" s="1"/>
  <c r="E103" i="2"/>
  <c r="E107" i="2"/>
  <c r="E91" i="2"/>
  <c r="E125" i="2" s="1"/>
  <c r="E95" i="2"/>
  <c r="E99" i="2"/>
  <c r="E72" i="2"/>
  <c r="E76" i="2"/>
  <c r="E62" i="2"/>
  <c r="E60" i="2"/>
  <c r="E84" i="2"/>
  <c r="E88" i="2"/>
  <c r="E75" i="2"/>
  <c r="E106" i="2"/>
  <c r="E110" i="2"/>
  <c r="E94" i="2"/>
  <c r="E98" i="2"/>
  <c r="E64" i="2"/>
  <c r="E83" i="2"/>
  <c r="E87" i="2"/>
  <c r="E61" i="2"/>
  <c r="E65" i="2"/>
  <c r="E117" i="2" s="1"/>
  <c r="E86" i="2"/>
  <c r="E105" i="2"/>
  <c r="E93" i="2"/>
  <c r="E97" i="2"/>
  <c r="E70" i="2"/>
  <c r="E74" i="2"/>
  <c r="E82" i="2"/>
  <c r="C103" i="2"/>
  <c r="C93" i="2"/>
  <c r="C84" i="2"/>
  <c r="C73" i="2"/>
  <c r="C63" i="2"/>
  <c r="C91" i="2"/>
  <c r="C125" i="2" s="1"/>
  <c r="C104" i="2"/>
  <c r="C130" i="2" s="1"/>
  <c r="C94" i="2"/>
  <c r="C85" i="2"/>
  <c r="C74" i="2"/>
  <c r="C64" i="2"/>
  <c r="C77" i="2"/>
  <c r="C67" i="2"/>
  <c r="C72" i="2"/>
  <c r="C105" i="2"/>
  <c r="C95" i="2"/>
  <c r="C86" i="2"/>
  <c r="C75" i="2"/>
  <c r="C65" i="2"/>
  <c r="C117" i="2" s="1"/>
  <c r="C76" i="2"/>
  <c r="C66" i="2"/>
  <c r="C106" i="2"/>
  <c r="C96" i="2"/>
  <c r="C126" i="2" s="1"/>
  <c r="C87" i="2"/>
  <c r="C107" i="2"/>
  <c r="C97" i="2"/>
  <c r="C88" i="2"/>
  <c r="C110" i="2"/>
  <c r="C108" i="2"/>
  <c r="C131" i="2" s="1"/>
  <c r="C98" i="2"/>
  <c r="C89" i="2"/>
  <c r="C70" i="2"/>
  <c r="C69" i="2"/>
  <c r="C119" i="2" s="1"/>
  <c r="C60" i="2"/>
  <c r="C83" i="2"/>
  <c r="C99" i="2"/>
  <c r="C82" i="2"/>
  <c r="C81" i="2"/>
  <c r="C123" i="2" s="1"/>
  <c r="C71" i="2"/>
  <c r="C120" i="2" s="1"/>
  <c r="C61" i="2"/>
  <c r="C92" i="2"/>
  <c r="C62" i="2"/>
  <c r="H83" i="2"/>
  <c r="H87" i="2"/>
  <c r="H61" i="2"/>
  <c r="H65" i="2"/>
  <c r="H117" i="2" s="1"/>
  <c r="H105" i="2"/>
  <c r="H93" i="2"/>
  <c r="H97" i="2"/>
  <c r="H70" i="2"/>
  <c r="H74" i="2"/>
  <c r="H63" i="2"/>
  <c r="H82" i="2"/>
  <c r="H86" i="2"/>
  <c r="H60" i="2"/>
  <c r="H64" i="2"/>
  <c r="H71" i="2"/>
  <c r="H120" i="2" s="1"/>
  <c r="H104" i="2"/>
  <c r="H130" i="2" s="1"/>
  <c r="H108" i="2"/>
  <c r="H131" i="2" s="1"/>
  <c r="H92" i="2"/>
  <c r="H96" i="2"/>
  <c r="H126" i="2" s="1"/>
  <c r="H69" i="2"/>
  <c r="H119" i="2" s="1"/>
  <c r="H73" i="2"/>
  <c r="H77" i="2"/>
  <c r="H67" i="2"/>
  <c r="H81" i="2"/>
  <c r="H123" i="2" s="1"/>
  <c r="H85" i="2"/>
  <c r="H89" i="2"/>
  <c r="H103" i="2"/>
  <c r="H107" i="2"/>
  <c r="H91" i="2"/>
  <c r="H125" i="2" s="1"/>
  <c r="Q125" i="2" s="1"/>
  <c r="H95" i="2"/>
  <c r="H99" i="2"/>
  <c r="H72" i="2"/>
  <c r="H76" i="2"/>
  <c r="H106" i="2"/>
  <c r="H110" i="2"/>
  <c r="H94" i="2"/>
  <c r="H98" i="2"/>
  <c r="H84" i="2"/>
  <c r="H88" i="2"/>
  <c r="H62" i="2"/>
  <c r="H66" i="2"/>
  <c r="H75" i="2"/>
  <c r="G105" i="2"/>
  <c r="G93" i="2"/>
  <c r="G97" i="2"/>
  <c r="G70" i="2"/>
  <c r="G74" i="2"/>
  <c r="G82" i="2"/>
  <c r="G86" i="2"/>
  <c r="G60" i="2"/>
  <c r="G64" i="2"/>
  <c r="G104" i="2"/>
  <c r="G130" i="2" s="1"/>
  <c r="G108" i="2"/>
  <c r="G131" i="2" s="1"/>
  <c r="G92" i="2"/>
  <c r="G96" i="2"/>
  <c r="G126" i="2" s="1"/>
  <c r="G69" i="2"/>
  <c r="G119" i="2" s="1"/>
  <c r="G73" i="2"/>
  <c r="G77" i="2"/>
  <c r="G83" i="2"/>
  <c r="G65" i="2"/>
  <c r="G117" i="2" s="1"/>
  <c r="G81" i="2"/>
  <c r="G123" i="2" s="1"/>
  <c r="G85" i="2"/>
  <c r="G89" i="2"/>
  <c r="G63" i="2"/>
  <c r="G67" i="2"/>
  <c r="G87" i="2"/>
  <c r="G103" i="2"/>
  <c r="G107" i="2"/>
  <c r="G91" i="2"/>
  <c r="G125" i="2" s="1"/>
  <c r="G95" i="2"/>
  <c r="G99" i="2"/>
  <c r="G72" i="2"/>
  <c r="G76" i="2"/>
  <c r="G84" i="2"/>
  <c r="G88" i="2"/>
  <c r="G62" i="2"/>
  <c r="G66" i="2"/>
  <c r="G61" i="2"/>
  <c r="G106" i="2"/>
  <c r="G110" i="2"/>
  <c r="G94" i="2"/>
  <c r="G98" i="2"/>
  <c r="G71" i="2"/>
  <c r="G120" i="2" s="1"/>
  <c r="G75" i="2"/>
  <c r="I54" i="2"/>
  <c r="I55" i="2" s="1"/>
  <c r="F54" i="2"/>
  <c r="F55" i="2" s="1"/>
  <c r="E54" i="2"/>
  <c r="E55" i="2" s="1"/>
  <c r="H54" i="2"/>
  <c r="H55" i="2" s="1"/>
  <c r="C54" i="2"/>
  <c r="C55" i="2" s="1"/>
  <c r="D54" i="2"/>
  <c r="D55" i="2" s="1"/>
  <c r="G54" i="2"/>
  <c r="G55" i="2" s="1"/>
  <c r="K60" i="7" l="1"/>
  <c r="K61" i="7" s="1"/>
  <c r="K62" i="7" s="1"/>
  <c r="R20" i="5" s="1"/>
  <c r="R10" i="5"/>
  <c r="N9" i="7"/>
  <c r="Q18" i="5"/>
  <c r="F30" i="7"/>
  <c r="H13" i="7"/>
  <c r="F31" i="7"/>
  <c r="F37" i="7" s="1"/>
  <c r="H14" i="7"/>
  <c r="F47" i="7"/>
  <c r="F58" i="7" s="1"/>
  <c r="F48" i="7"/>
  <c r="F59" i="7" s="1"/>
  <c r="O9" i="5"/>
  <c r="I5" i="7"/>
  <c r="F10" i="5"/>
  <c r="F31" i="4"/>
  <c r="F28" i="4"/>
  <c r="F25" i="4"/>
  <c r="C31" i="4"/>
  <c r="C28" i="4"/>
  <c r="C25" i="4"/>
  <c r="F42" i="4"/>
  <c r="F36" i="4"/>
  <c r="H36" i="4"/>
  <c r="H42" i="4"/>
  <c r="I35" i="4"/>
  <c r="D42" i="4"/>
  <c r="D36" i="4"/>
  <c r="H28" i="4"/>
  <c r="H25" i="4"/>
  <c r="H31" i="4"/>
  <c r="D31" i="4"/>
  <c r="D28" i="4"/>
  <c r="D25" i="4"/>
  <c r="C39" i="4"/>
  <c r="C42" i="4"/>
  <c r="C36" i="4"/>
  <c r="E31" i="4"/>
  <c r="E28" i="4"/>
  <c r="E25" i="4"/>
  <c r="E42" i="4"/>
  <c r="E36" i="4"/>
  <c r="G31" i="4"/>
  <c r="G28" i="4"/>
  <c r="G25" i="4"/>
  <c r="G36" i="4"/>
  <c r="G42" i="4"/>
  <c r="I4" i="4"/>
  <c r="I7" i="4"/>
  <c r="I19" i="4"/>
  <c r="I16" i="4"/>
  <c r="I14" i="4" s="1"/>
  <c r="I29" i="4"/>
  <c r="I27" i="4" s="1"/>
  <c r="I43" i="4"/>
  <c r="I41" i="4" s="1"/>
  <c r="I20" i="4"/>
  <c r="O8" i="5"/>
  <c r="I4" i="7"/>
  <c r="N63" i="1"/>
  <c r="R118" i="2"/>
  <c r="R75" i="2"/>
  <c r="U68" i="3"/>
  <c r="X23" i="3"/>
  <c r="O117" i="2"/>
  <c r="G11" i="5"/>
  <c r="D60" i="1"/>
  <c r="D11" i="5"/>
  <c r="C59" i="1"/>
  <c r="C10" i="5"/>
  <c r="E11" i="5"/>
  <c r="C16" i="5"/>
  <c r="H59" i="1"/>
  <c r="Q59" i="1" s="1"/>
  <c r="D59" i="1"/>
  <c r="D10" i="5"/>
  <c r="C60" i="1"/>
  <c r="C11" i="5"/>
  <c r="E59" i="1"/>
  <c r="E10" i="5"/>
  <c r="G59" i="1"/>
  <c r="P59" i="1" s="1"/>
  <c r="G10" i="5"/>
  <c r="F60" i="1"/>
  <c r="F11" i="5"/>
  <c r="W23" i="3"/>
  <c r="T67" i="3"/>
  <c r="T55" i="3"/>
  <c r="W53" i="3"/>
  <c r="U14" i="3"/>
  <c r="X72" i="3"/>
  <c r="W69" i="3"/>
  <c r="V72" i="3"/>
  <c r="U22" i="3"/>
  <c r="W70" i="3"/>
  <c r="X67" i="3"/>
  <c r="Y70" i="3"/>
  <c r="Z19" i="3"/>
  <c r="I67" i="3"/>
  <c r="X10" i="3"/>
  <c r="G66" i="3"/>
  <c r="G14" i="5"/>
  <c r="G19" i="5" s="1"/>
  <c r="V68" i="3"/>
  <c r="AA68" i="3" s="1"/>
  <c r="U18" i="3"/>
  <c r="U23" i="3"/>
  <c r="U43" i="3"/>
  <c r="D70" i="3"/>
  <c r="U72" i="3"/>
  <c r="T23" i="3"/>
  <c r="V70" i="3"/>
  <c r="W72" i="3"/>
  <c r="Y27" i="3"/>
  <c r="H68" i="3"/>
  <c r="X68" i="3" s="1"/>
  <c r="U26" i="3"/>
  <c r="V71" i="3"/>
  <c r="U45" i="3"/>
  <c r="V69" i="3"/>
  <c r="T10" i="3"/>
  <c r="C66" i="3"/>
  <c r="C14" i="5"/>
  <c r="Z34" i="3"/>
  <c r="I69" i="3"/>
  <c r="U70" i="3"/>
  <c r="U29" i="3"/>
  <c r="U33" i="3"/>
  <c r="W68" i="3"/>
  <c r="U67" i="3"/>
  <c r="W71" i="3"/>
  <c r="X69" i="3"/>
  <c r="U44" i="3"/>
  <c r="D71" i="3"/>
  <c r="Z8" i="3"/>
  <c r="I15" i="5"/>
  <c r="Z10" i="3"/>
  <c r="I66" i="3"/>
  <c r="Z66" i="3" s="1"/>
  <c r="I14" i="5"/>
  <c r="I19" i="5" s="1"/>
  <c r="H66" i="3"/>
  <c r="H14" i="5"/>
  <c r="H19" i="5" s="1"/>
  <c r="E14" i="5"/>
  <c r="E19" i="5" s="1"/>
  <c r="E66" i="3"/>
  <c r="Y68" i="3"/>
  <c r="F14" i="5"/>
  <c r="F19" i="5" s="1"/>
  <c r="F66" i="3"/>
  <c r="U10" i="3"/>
  <c r="D66" i="3"/>
  <c r="D14" i="5"/>
  <c r="D19" i="5" s="1"/>
  <c r="T43" i="3"/>
  <c r="C70" i="3"/>
  <c r="T44" i="3"/>
  <c r="C71" i="3"/>
  <c r="Z44" i="3"/>
  <c r="I71" i="3"/>
  <c r="I72" i="3"/>
  <c r="T8" i="3"/>
  <c r="N44" i="1"/>
  <c r="M41" i="1"/>
  <c r="C34" i="4"/>
  <c r="M125" i="2"/>
  <c r="M130" i="2"/>
  <c r="X15" i="3"/>
  <c r="X18" i="3"/>
  <c r="X50" i="3"/>
  <c r="U52" i="3"/>
  <c r="X27" i="3"/>
  <c r="X35" i="3"/>
  <c r="V22" i="3"/>
  <c r="X49" i="3"/>
  <c r="X34" i="3"/>
  <c r="X11" i="3"/>
  <c r="X16" i="3"/>
  <c r="X36" i="3"/>
  <c r="X24" i="3"/>
  <c r="X29" i="3"/>
  <c r="V49" i="3"/>
  <c r="X14" i="3"/>
  <c r="V10" i="3"/>
  <c r="X8" i="3"/>
  <c r="V52" i="3"/>
  <c r="V15" i="3"/>
  <c r="U27" i="3"/>
  <c r="V26" i="3"/>
  <c r="T27" i="3"/>
  <c r="X48" i="3"/>
  <c r="T15" i="3"/>
  <c r="X55" i="3"/>
  <c r="V17" i="3"/>
  <c r="X17" i="3"/>
  <c r="V13" i="3"/>
  <c r="X19" i="3"/>
  <c r="X53" i="3"/>
  <c r="X38" i="3"/>
  <c r="X25" i="3"/>
  <c r="X46" i="3"/>
  <c r="X13" i="3"/>
  <c r="X39" i="3"/>
  <c r="X12" i="3"/>
  <c r="U34" i="3"/>
  <c r="U51" i="3"/>
  <c r="U15" i="3"/>
  <c r="T34" i="3"/>
  <c r="T50" i="3"/>
  <c r="U24" i="3"/>
  <c r="U13" i="3"/>
  <c r="V29" i="3"/>
  <c r="X37" i="3"/>
  <c r="V46" i="3"/>
  <c r="U8" i="3"/>
  <c r="T11" i="3"/>
  <c r="V27" i="3"/>
  <c r="U55" i="3"/>
  <c r="V8" i="3"/>
  <c r="U11" i="3"/>
  <c r="V43" i="3"/>
  <c r="T54" i="3"/>
  <c r="U39" i="3"/>
  <c r="V45" i="3"/>
  <c r="V25" i="3"/>
  <c r="X33" i="3"/>
  <c r="V50" i="3"/>
  <c r="V34" i="3"/>
  <c r="U38" i="3"/>
  <c r="U47" i="3"/>
  <c r="U19" i="3"/>
  <c r="T38" i="3"/>
  <c r="T46" i="3"/>
  <c r="U28" i="3"/>
  <c r="W36" i="3"/>
  <c r="W47" i="3"/>
  <c r="X54" i="3"/>
  <c r="U12" i="3"/>
  <c r="X22" i="3"/>
  <c r="Z53" i="3"/>
  <c r="T53" i="3"/>
  <c r="X56" i="3"/>
  <c r="V23" i="3"/>
  <c r="V28" i="3"/>
  <c r="V47" i="3"/>
  <c r="V16" i="3"/>
  <c r="U35" i="3"/>
  <c r="Z37" i="3"/>
  <c r="X43" i="3"/>
  <c r="V54" i="3"/>
  <c r="Y58" i="3"/>
  <c r="Y9" i="3"/>
  <c r="Y12" i="3"/>
  <c r="W48" i="3"/>
  <c r="Y26" i="3"/>
  <c r="W33" i="3"/>
  <c r="W50" i="3"/>
  <c r="Y19" i="3"/>
  <c r="Y39" i="3"/>
  <c r="W45" i="3"/>
  <c r="W11" i="3"/>
  <c r="W35" i="3"/>
  <c r="Y49" i="3"/>
  <c r="W16" i="3"/>
  <c r="V35" i="3"/>
  <c r="V37" i="3"/>
  <c r="W25" i="3"/>
  <c r="Y33" i="3"/>
  <c r="U50" i="3"/>
  <c r="U17" i="3"/>
  <c r="Z12" i="3"/>
  <c r="Z27" i="3"/>
  <c r="T39" i="3"/>
  <c r="T45" i="3"/>
  <c r="Y18" i="3"/>
  <c r="Z9" i="3"/>
  <c r="Z58" i="3"/>
  <c r="W9" i="3"/>
  <c r="W58" i="3"/>
  <c r="Y36" i="3"/>
  <c r="Y23" i="3"/>
  <c r="Y51" i="3"/>
  <c r="W10" i="3"/>
  <c r="Y46" i="3"/>
  <c r="Y25" i="3"/>
  <c r="W51" i="3"/>
  <c r="W22" i="3"/>
  <c r="Z54" i="3"/>
  <c r="V18" i="3"/>
  <c r="Y28" i="3"/>
  <c r="D61" i="3"/>
  <c r="U9" i="3"/>
  <c r="U58" i="3"/>
  <c r="W19" i="3"/>
  <c r="Z23" i="3"/>
  <c r="V44" i="3"/>
  <c r="V53" i="3"/>
  <c r="W24" i="3"/>
  <c r="Z50" i="3"/>
  <c r="W52" i="3"/>
  <c r="T48" i="3"/>
  <c r="Y13" i="3"/>
  <c r="V24" i="3"/>
  <c r="Z43" i="3"/>
  <c r="V51" i="3"/>
  <c r="V12" i="3"/>
  <c r="Y22" i="3"/>
  <c r="Z52" i="3"/>
  <c r="Y52" i="3"/>
  <c r="T29" i="3"/>
  <c r="W17" i="3"/>
  <c r="T28" i="3"/>
  <c r="V36" i="3"/>
  <c r="X47" i="3"/>
  <c r="W28" i="3"/>
  <c r="Y10" i="3"/>
  <c r="W38" i="3"/>
  <c r="Y43" i="3"/>
  <c r="W54" i="3"/>
  <c r="W27" i="3"/>
  <c r="Y35" i="3"/>
  <c r="W49" i="3"/>
  <c r="W18" i="3"/>
  <c r="W8" i="3"/>
  <c r="Y53" i="3"/>
  <c r="V9" i="3"/>
  <c r="V58" i="3"/>
  <c r="W12" i="3"/>
  <c r="Z51" i="3"/>
  <c r="Z36" i="3"/>
  <c r="W43" i="3"/>
  <c r="U54" i="3"/>
  <c r="V33" i="3"/>
  <c r="U16" i="3"/>
  <c r="T35" i="3"/>
  <c r="T49" i="3"/>
  <c r="X9" i="3"/>
  <c r="X58" i="3"/>
  <c r="Y34" i="3"/>
  <c r="Y15" i="3"/>
  <c r="Y48" i="3"/>
  <c r="Y38" i="3"/>
  <c r="Y11" i="3"/>
  <c r="Y44" i="3"/>
  <c r="W55" i="3"/>
  <c r="Y14" i="3"/>
  <c r="W56" i="3"/>
  <c r="Y8" i="3"/>
  <c r="Y54" i="3"/>
  <c r="Y17" i="3"/>
  <c r="Y56" i="3"/>
  <c r="Y55" i="3"/>
  <c r="W34" i="3"/>
  <c r="Y50" i="3"/>
  <c r="Y16" i="3"/>
  <c r="W44" i="3"/>
  <c r="W14" i="3"/>
  <c r="W37" i="3"/>
  <c r="W46" i="3"/>
  <c r="V14" i="3"/>
  <c r="Y24" i="3"/>
  <c r="W15" i="3"/>
  <c r="V48" i="3"/>
  <c r="T9" i="3"/>
  <c r="T58" i="3"/>
  <c r="V19" i="3"/>
  <c r="Z22" i="3"/>
  <c r="W39" i="3"/>
  <c r="Y45" i="3"/>
  <c r="Z14" i="3"/>
  <c r="Z29" i="3"/>
  <c r="V39" i="3"/>
  <c r="X44" i="3"/>
  <c r="V55" i="3"/>
  <c r="T19" i="3"/>
  <c r="W29" i="3"/>
  <c r="Y37" i="3"/>
  <c r="U46" i="3"/>
  <c r="T52" i="3"/>
  <c r="W13" i="3"/>
  <c r="T24" i="3"/>
  <c r="Z45" i="3"/>
  <c r="X51" i="3"/>
  <c r="V56" i="3"/>
  <c r="Z56" i="3"/>
  <c r="M120" i="2"/>
  <c r="N120" i="2"/>
  <c r="N119" i="2"/>
  <c r="I122" i="2"/>
  <c r="I128" i="2"/>
  <c r="O130" i="2"/>
  <c r="P119" i="2"/>
  <c r="Q119" i="2"/>
  <c r="O120" i="2"/>
  <c r="M123" i="2"/>
  <c r="L119" i="2"/>
  <c r="L120" i="2"/>
  <c r="O119" i="2"/>
  <c r="P120" i="2"/>
  <c r="Q120" i="2"/>
  <c r="M119" i="2"/>
  <c r="E61" i="3"/>
  <c r="F61" i="3"/>
  <c r="E20" i="3"/>
  <c r="G40" i="3"/>
  <c r="D40" i="3"/>
  <c r="C61" i="3"/>
  <c r="H61" i="3"/>
  <c r="H20" i="3"/>
  <c r="C40" i="3"/>
  <c r="I20" i="3"/>
  <c r="F40" i="3"/>
  <c r="G20" i="3"/>
  <c r="H40" i="3"/>
  <c r="I40" i="3"/>
  <c r="C56" i="3"/>
  <c r="T56" i="3" s="1"/>
  <c r="I61" i="3"/>
  <c r="C20" i="3"/>
  <c r="F20" i="3"/>
  <c r="D20" i="3"/>
  <c r="E40" i="3"/>
  <c r="G61" i="3"/>
  <c r="N42" i="1"/>
  <c r="E34" i="4"/>
  <c r="Q47" i="1"/>
  <c r="N47" i="1"/>
  <c r="N46" i="1"/>
  <c r="M42" i="1"/>
  <c r="N52" i="1"/>
  <c r="Q45" i="1"/>
  <c r="O53" i="1"/>
  <c r="O43" i="1"/>
  <c r="M53" i="1"/>
  <c r="M45" i="1"/>
  <c r="M47" i="1"/>
  <c r="M46" i="1"/>
  <c r="O63" i="1"/>
  <c r="L62" i="1"/>
  <c r="Q64" i="1"/>
  <c r="Q36" i="1"/>
  <c r="H63" i="1"/>
  <c r="Q63" i="1" s="1"/>
  <c r="P35" i="1"/>
  <c r="G62" i="1"/>
  <c r="O62" i="1" s="1"/>
  <c r="P46" i="1"/>
  <c r="N39" i="1"/>
  <c r="E66" i="1"/>
  <c r="N66" i="1" s="1"/>
  <c r="M36" i="1"/>
  <c r="D63" i="1"/>
  <c r="M63" i="1" s="1"/>
  <c r="H34" i="4"/>
  <c r="Q54" i="1"/>
  <c r="Q39" i="1"/>
  <c r="H66" i="1"/>
  <c r="P33" i="1"/>
  <c r="G60" i="1"/>
  <c r="P38" i="1"/>
  <c r="G65" i="1"/>
  <c r="O65" i="1" s="1"/>
  <c r="O34" i="1"/>
  <c r="F61" i="1"/>
  <c r="O41" i="1"/>
  <c r="F59" i="1"/>
  <c r="N40" i="1"/>
  <c r="E67" i="1"/>
  <c r="N67" i="1" s="1"/>
  <c r="N38" i="1"/>
  <c r="E65" i="1"/>
  <c r="N65" i="1" s="1"/>
  <c r="M34" i="1"/>
  <c r="D61" i="1"/>
  <c r="L61" i="1" s="1"/>
  <c r="F34" i="4"/>
  <c r="Q33" i="1"/>
  <c r="H60" i="1"/>
  <c r="Q40" i="1"/>
  <c r="H67" i="1"/>
  <c r="P45" i="1"/>
  <c r="P47" i="1"/>
  <c r="N34" i="1"/>
  <c r="E61" i="1"/>
  <c r="M38" i="1"/>
  <c r="D65" i="1"/>
  <c r="L65" i="1" s="1"/>
  <c r="D34" i="4"/>
  <c r="M62" i="1"/>
  <c r="Q34" i="1"/>
  <c r="H61" i="1"/>
  <c r="Q61" i="1" s="1"/>
  <c r="Q46" i="1"/>
  <c r="Q52" i="1"/>
  <c r="P37" i="1"/>
  <c r="G64" i="1"/>
  <c r="O64" i="1" s="1"/>
  <c r="P39" i="1"/>
  <c r="G66" i="1"/>
  <c r="O66" i="1" s="1"/>
  <c r="N62" i="1"/>
  <c r="N33" i="1"/>
  <c r="E60" i="1"/>
  <c r="M37" i="1"/>
  <c r="D64" i="1"/>
  <c r="L64" i="1" s="1"/>
  <c r="Q65" i="1"/>
  <c r="P34" i="1"/>
  <c r="G61" i="1"/>
  <c r="P42" i="1"/>
  <c r="P40" i="1"/>
  <c r="G67" i="1"/>
  <c r="O67" i="1" s="1"/>
  <c r="M39" i="1"/>
  <c r="D66" i="1"/>
  <c r="L66" i="1" s="1"/>
  <c r="N64" i="1"/>
  <c r="Q43" i="1"/>
  <c r="Q42" i="1"/>
  <c r="P53" i="1"/>
  <c r="P44" i="1"/>
  <c r="P52" i="1"/>
  <c r="M40" i="1"/>
  <c r="D67" i="1"/>
  <c r="L67" i="1" s="1"/>
  <c r="G34" i="4"/>
  <c r="M131" i="2"/>
  <c r="O125" i="2"/>
  <c r="M126" i="2"/>
  <c r="O123" i="2"/>
  <c r="M117" i="2"/>
  <c r="L131" i="2"/>
  <c r="N126" i="2"/>
  <c r="P126" i="2"/>
  <c r="Q126" i="2"/>
  <c r="L130" i="2"/>
  <c r="N117" i="2"/>
  <c r="N131" i="2"/>
  <c r="L117" i="2"/>
  <c r="N130" i="2"/>
  <c r="P131" i="2"/>
  <c r="Q131" i="2"/>
  <c r="O126" i="2"/>
  <c r="P123" i="2"/>
  <c r="Q123" i="2"/>
  <c r="P130" i="2"/>
  <c r="Q130" i="2"/>
  <c r="N123" i="2"/>
  <c r="L125" i="2"/>
  <c r="N125" i="2"/>
  <c r="P117" i="2"/>
  <c r="Q117" i="2"/>
  <c r="O131" i="2"/>
  <c r="L126" i="2"/>
  <c r="L123" i="2"/>
  <c r="P125" i="2"/>
  <c r="R79" i="2"/>
  <c r="I111" i="2"/>
  <c r="I132" i="2" s="1"/>
  <c r="L32" i="1"/>
  <c r="L51" i="1"/>
  <c r="O44" i="1"/>
  <c r="O35" i="1"/>
  <c r="L34" i="1"/>
  <c r="L44" i="1"/>
  <c r="L41" i="1"/>
  <c r="Q51" i="1"/>
  <c r="Q32" i="1"/>
  <c r="Q38" i="1"/>
  <c r="O36" i="1"/>
  <c r="O46" i="1"/>
  <c r="N53" i="1"/>
  <c r="N36" i="1"/>
  <c r="M32" i="1"/>
  <c r="M51" i="1"/>
  <c r="L38" i="1"/>
  <c r="L33" i="1"/>
  <c r="L36" i="1"/>
  <c r="O48" i="1"/>
  <c r="O54" i="1"/>
  <c r="O38" i="1"/>
  <c r="N51" i="1"/>
  <c r="N32" i="1"/>
  <c r="N54" i="1"/>
  <c r="M43" i="1"/>
  <c r="L47" i="1"/>
  <c r="L43" i="1"/>
  <c r="L54" i="1"/>
  <c r="Q41" i="1"/>
  <c r="Q35" i="1"/>
  <c r="Q53" i="1"/>
  <c r="P51" i="1"/>
  <c r="P32" i="1"/>
  <c r="P36" i="1"/>
  <c r="O40" i="1"/>
  <c r="O45" i="1"/>
  <c r="O47" i="1"/>
  <c r="N43" i="1"/>
  <c r="N45" i="1"/>
  <c r="M52" i="1"/>
  <c r="M35" i="1"/>
  <c r="L39" i="1"/>
  <c r="L35" i="1"/>
  <c r="L48" i="1"/>
  <c r="L42" i="1"/>
  <c r="Q44" i="1"/>
  <c r="Q37" i="1"/>
  <c r="P43" i="1"/>
  <c r="P54" i="1"/>
  <c r="O33" i="1"/>
  <c r="O37" i="1"/>
  <c r="O39" i="1"/>
  <c r="N35" i="1"/>
  <c r="N37" i="1"/>
  <c r="M33" i="1"/>
  <c r="M44" i="1"/>
  <c r="L53" i="1"/>
  <c r="L52" i="1"/>
  <c r="P48" i="1"/>
  <c r="N48" i="1"/>
  <c r="O42" i="1"/>
  <c r="O52" i="1"/>
  <c r="L46" i="1"/>
  <c r="L45" i="1"/>
  <c r="N41" i="1"/>
  <c r="Q48" i="1"/>
  <c r="O32" i="1"/>
  <c r="O51" i="1"/>
  <c r="M54" i="1"/>
  <c r="L40" i="1"/>
  <c r="L37" i="1"/>
  <c r="P41" i="1"/>
  <c r="M48" i="1"/>
  <c r="R74" i="2"/>
  <c r="D100" i="2"/>
  <c r="G109" i="2"/>
  <c r="H100" i="2"/>
  <c r="D109" i="2"/>
  <c r="R78" i="2"/>
  <c r="C109" i="2"/>
  <c r="E100" i="2"/>
  <c r="F100" i="2"/>
  <c r="H109" i="2"/>
  <c r="R63" i="2"/>
  <c r="R92" i="2"/>
  <c r="R83" i="2"/>
  <c r="R91" i="2"/>
  <c r="R101" i="2"/>
  <c r="R99" i="2"/>
  <c r="R97" i="2"/>
  <c r="R94" i="2"/>
  <c r="R89" i="2"/>
  <c r="R93" i="2"/>
  <c r="R86" i="2"/>
  <c r="R100" i="2"/>
  <c r="R85" i="2"/>
  <c r="R81" i="2"/>
  <c r="R96" i="2"/>
  <c r="R88" i="2"/>
  <c r="R95" i="2"/>
  <c r="R87" i="2"/>
  <c r="R82" i="2"/>
  <c r="R98" i="2"/>
  <c r="R84" i="2"/>
  <c r="G100" i="2"/>
  <c r="E109" i="2"/>
  <c r="F109" i="2"/>
  <c r="R90" i="2"/>
  <c r="C100" i="2"/>
  <c r="C68" i="2"/>
  <c r="R60" i="2"/>
  <c r="E78" i="2"/>
  <c r="R77" i="2"/>
  <c r="R73" i="2"/>
  <c r="G78" i="2"/>
  <c r="H90" i="2"/>
  <c r="D78" i="2"/>
  <c r="F78" i="2"/>
  <c r="R65" i="2"/>
  <c r="R71" i="2"/>
  <c r="R62" i="2"/>
  <c r="R61" i="2"/>
  <c r="R72" i="2"/>
  <c r="R67" i="2"/>
  <c r="R76" i="2"/>
  <c r="R70" i="2"/>
  <c r="C78" i="2"/>
  <c r="C26" i="4" s="1"/>
  <c r="D90" i="2"/>
  <c r="G90" i="2"/>
  <c r="R69" i="2"/>
  <c r="R68" i="2"/>
  <c r="E90" i="2"/>
  <c r="R66" i="2"/>
  <c r="H78" i="2"/>
  <c r="C90" i="2"/>
  <c r="R64" i="2"/>
  <c r="F90" i="2"/>
  <c r="E68" i="2"/>
  <c r="D68" i="2"/>
  <c r="G68" i="2"/>
  <c r="F68" i="2"/>
  <c r="H68" i="2"/>
  <c r="C19" i="5" l="1"/>
  <c r="Q14" i="5"/>
  <c r="Q19" i="5" s="1"/>
  <c r="Y14" i="5"/>
  <c r="Y19" i="5" s="1"/>
  <c r="W14" i="5"/>
  <c r="W19" i="5" s="1"/>
  <c r="R14" i="5"/>
  <c r="R19" i="5" s="1"/>
  <c r="K14" i="5"/>
  <c r="K19" i="5" s="1"/>
  <c r="S14" i="5"/>
  <c r="S19" i="5" s="1"/>
  <c r="L14" i="5"/>
  <c r="T14" i="5"/>
  <c r="T19" i="5" s="1"/>
  <c r="M14" i="5"/>
  <c r="U14" i="5"/>
  <c r="U19" i="5" s="1"/>
  <c r="N14" i="5"/>
  <c r="V14" i="5"/>
  <c r="V19" i="5" s="1"/>
  <c r="O14" i="5"/>
  <c r="P14" i="5"/>
  <c r="X14" i="5"/>
  <c r="X19" i="5" s="1"/>
  <c r="L60" i="7"/>
  <c r="L61" i="7" s="1"/>
  <c r="L62" i="7" s="1"/>
  <c r="S20" i="5" s="1"/>
  <c r="S10" i="5"/>
  <c r="O9" i="7"/>
  <c r="R18" i="5"/>
  <c r="G31" i="7"/>
  <c r="G37" i="7" s="1"/>
  <c r="I14" i="7"/>
  <c r="G30" i="7"/>
  <c r="I13" i="7"/>
  <c r="G47" i="7"/>
  <c r="G58" i="7" s="1"/>
  <c r="G48" i="7"/>
  <c r="G59" i="7" s="1"/>
  <c r="P9" i="5"/>
  <c r="J5" i="7"/>
  <c r="F12" i="5"/>
  <c r="L59" i="1"/>
  <c r="E5" i="4"/>
  <c r="E8" i="4"/>
  <c r="E124" i="2"/>
  <c r="M124" i="2" s="1"/>
  <c r="E9" i="4"/>
  <c r="E6" i="4"/>
  <c r="D8" i="4"/>
  <c r="D5" i="4"/>
  <c r="G26" i="4"/>
  <c r="G24" i="4"/>
  <c r="D124" i="2"/>
  <c r="L124" i="2" s="1"/>
  <c r="D9" i="4"/>
  <c r="D6" i="4"/>
  <c r="E24" i="4"/>
  <c r="E26" i="4"/>
  <c r="G124" i="2"/>
  <c r="O124" i="2" s="1"/>
  <c r="G9" i="4"/>
  <c r="G6" i="4"/>
  <c r="C124" i="2"/>
  <c r="C9" i="4"/>
  <c r="C6" i="4"/>
  <c r="H8" i="4"/>
  <c r="H5" i="4"/>
  <c r="H24" i="4"/>
  <c r="H26" i="4"/>
  <c r="F26" i="4"/>
  <c r="F24" i="4"/>
  <c r="C8" i="4"/>
  <c r="C7" i="4" s="1"/>
  <c r="C5" i="4"/>
  <c r="C4" i="4" s="1"/>
  <c r="I18" i="4"/>
  <c r="F124" i="2"/>
  <c r="F6" i="4"/>
  <c r="F9" i="4"/>
  <c r="F8" i="4"/>
  <c r="F7" i="4" s="1"/>
  <c r="F5" i="4"/>
  <c r="F4" i="4" s="1"/>
  <c r="D24" i="4"/>
  <c r="D26" i="4"/>
  <c r="G8" i="4"/>
  <c r="G5" i="4"/>
  <c r="H124" i="2"/>
  <c r="P124" i="2" s="1"/>
  <c r="H9" i="4"/>
  <c r="H6" i="4"/>
  <c r="P8" i="5"/>
  <c r="J4" i="7"/>
  <c r="S125" i="2"/>
  <c r="N124" i="2"/>
  <c r="S119" i="2"/>
  <c r="S130" i="2"/>
  <c r="S120" i="2"/>
  <c r="S131" i="2"/>
  <c r="S123" i="2"/>
  <c r="S117" i="2"/>
  <c r="S126" i="2"/>
  <c r="AB43" i="3"/>
  <c r="Y67" i="3"/>
  <c r="AA67" i="3" s="1"/>
  <c r="Z67" i="3"/>
  <c r="AB34" i="3"/>
  <c r="Y72" i="3"/>
  <c r="AA72" i="3" s="1"/>
  <c r="Z72" i="3"/>
  <c r="Y69" i="3"/>
  <c r="AA69" i="3" s="1"/>
  <c r="Z69" i="3"/>
  <c r="AB19" i="3"/>
  <c r="AB27" i="3"/>
  <c r="Y71" i="3"/>
  <c r="Z71" i="3"/>
  <c r="AB10" i="3"/>
  <c r="AB44" i="3"/>
  <c r="U66" i="3"/>
  <c r="G12" i="5"/>
  <c r="O60" i="1"/>
  <c r="M59" i="1"/>
  <c r="E20" i="5"/>
  <c r="H20" i="5"/>
  <c r="G20" i="5"/>
  <c r="D20" i="5"/>
  <c r="N59" i="1"/>
  <c r="F20" i="5"/>
  <c r="C20" i="5"/>
  <c r="T33" i="1"/>
  <c r="H12" i="5"/>
  <c r="H13" i="5" s="1"/>
  <c r="H2" i="7" s="1"/>
  <c r="L60" i="1"/>
  <c r="M60" i="1"/>
  <c r="C12" i="5"/>
  <c r="D12" i="5"/>
  <c r="E12" i="5"/>
  <c r="Y66" i="3"/>
  <c r="W66" i="3"/>
  <c r="T71" i="3"/>
  <c r="T70" i="3"/>
  <c r="AA70" i="3" s="1"/>
  <c r="T66" i="3"/>
  <c r="U71" i="3"/>
  <c r="V66" i="3"/>
  <c r="Z40" i="3"/>
  <c r="I18" i="5"/>
  <c r="U40" i="3"/>
  <c r="D18" i="5"/>
  <c r="T40" i="3"/>
  <c r="C18" i="5"/>
  <c r="Y40" i="3"/>
  <c r="H18" i="5"/>
  <c r="V40" i="3"/>
  <c r="E18" i="5"/>
  <c r="X40" i="3"/>
  <c r="G18" i="5"/>
  <c r="W40" i="3"/>
  <c r="F18" i="5"/>
  <c r="X66" i="3"/>
  <c r="T34" i="1"/>
  <c r="P65" i="1"/>
  <c r="T35" i="1"/>
  <c r="N60" i="1"/>
  <c r="O59" i="1"/>
  <c r="G30" i="3"/>
  <c r="X30" i="3" s="1"/>
  <c r="X20" i="3"/>
  <c r="C30" i="3"/>
  <c r="T30" i="3" s="1"/>
  <c r="T20" i="3"/>
  <c r="D30" i="3"/>
  <c r="U30" i="3" s="1"/>
  <c r="U20" i="3"/>
  <c r="H30" i="3"/>
  <c r="Y30" i="3" s="1"/>
  <c r="Y20" i="3"/>
  <c r="I30" i="3"/>
  <c r="Z30" i="3" s="1"/>
  <c r="Z20" i="3"/>
  <c r="F30" i="3"/>
  <c r="W30" i="3" s="1"/>
  <c r="W20" i="3"/>
  <c r="E30" i="3"/>
  <c r="V30" i="3" s="1"/>
  <c r="V20" i="3"/>
  <c r="H121" i="2"/>
  <c r="F10" i="4"/>
  <c r="D121" i="2"/>
  <c r="H127" i="2"/>
  <c r="D10" i="4"/>
  <c r="F127" i="2"/>
  <c r="G127" i="2"/>
  <c r="E127" i="2"/>
  <c r="H10" i="4"/>
  <c r="C127" i="2"/>
  <c r="G10" i="4"/>
  <c r="G121" i="2"/>
  <c r="D127" i="2"/>
  <c r="E10" i="4"/>
  <c r="E121" i="2"/>
  <c r="F121" i="2"/>
  <c r="C121" i="2"/>
  <c r="C24" i="4"/>
  <c r="C10" i="4"/>
  <c r="M64" i="1"/>
  <c r="N61" i="1"/>
  <c r="L63" i="1"/>
  <c r="P60" i="1"/>
  <c r="Q60" i="1"/>
  <c r="P63" i="1"/>
  <c r="M65" i="1"/>
  <c r="M61" i="1"/>
  <c r="M67" i="1"/>
  <c r="M66" i="1"/>
  <c r="O61" i="1"/>
  <c r="P61" i="1"/>
  <c r="P64" i="1"/>
  <c r="P66" i="1"/>
  <c r="Q66" i="1"/>
  <c r="Q67" i="1"/>
  <c r="P67" i="1"/>
  <c r="P62" i="1"/>
  <c r="S62" i="1" s="1"/>
  <c r="E118" i="2"/>
  <c r="H118" i="2"/>
  <c r="C118" i="2"/>
  <c r="F118" i="2"/>
  <c r="G118" i="2"/>
  <c r="D118" i="2"/>
  <c r="F102" i="2"/>
  <c r="E79" i="2"/>
  <c r="E102" i="2"/>
  <c r="G102" i="2"/>
  <c r="G15" i="4" s="1"/>
  <c r="H102" i="2"/>
  <c r="C102" i="2"/>
  <c r="D102" i="2"/>
  <c r="D15" i="4" s="1"/>
  <c r="C101" i="2"/>
  <c r="F79" i="2"/>
  <c r="D101" i="2"/>
  <c r="E101" i="2"/>
  <c r="H101" i="2"/>
  <c r="F101" i="2"/>
  <c r="G101" i="2"/>
  <c r="G79" i="2"/>
  <c r="H79" i="2"/>
  <c r="D79" i="2"/>
  <c r="C79" i="2"/>
  <c r="K17" i="7" l="1"/>
  <c r="S17" i="7"/>
  <c r="N17" i="7"/>
  <c r="G17" i="7"/>
  <c r="H17" i="7"/>
  <c r="P17" i="7"/>
  <c r="L17" i="7"/>
  <c r="T17" i="7"/>
  <c r="O17" i="7"/>
  <c r="I17" i="7"/>
  <c r="J17" i="7"/>
  <c r="R17" i="7"/>
  <c r="M17" i="7"/>
  <c r="F17" i="7"/>
  <c r="Q17" i="7"/>
  <c r="O16" i="7"/>
  <c r="O15" i="7" s="1"/>
  <c r="T11" i="5"/>
  <c r="P19" i="5"/>
  <c r="O19" i="5"/>
  <c r="N19" i="5"/>
  <c r="M19" i="5"/>
  <c r="L19" i="5"/>
  <c r="M60" i="7"/>
  <c r="M61" i="7" s="1"/>
  <c r="M62" i="7" s="1"/>
  <c r="T20" i="5" s="1"/>
  <c r="T10" i="5"/>
  <c r="P9" i="7"/>
  <c r="S18" i="5"/>
  <c r="H48" i="7"/>
  <c r="H59" i="7" s="1"/>
  <c r="J14" i="7"/>
  <c r="H47" i="7"/>
  <c r="H58" i="7" s="1"/>
  <c r="J13" i="7"/>
  <c r="Q9" i="5"/>
  <c r="K5" i="7"/>
  <c r="D4" i="4"/>
  <c r="H17" i="4"/>
  <c r="H37" i="4"/>
  <c r="H35" i="4" s="1"/>
  <c r="H32" i="4"/>
  <c r="H30" i="4" s="1"/>
  <c r="H40" i="4"/>
  <c r="H38" i="4" s="1"/>
  <c r="D7" i="4"/>
  <c r="E19" i="4"/>
  <c r="E18" i="4" s="1"/>
  <c r="E16" i="4"/>
  <c r="E37" i="4"/>
  <c r="E35" i="4" s="1"/>
  <c r="E32" i="4"/>
  <c r="E30" i="4" s="1"/>
  <c r="E17" i="4"/>
  <c r="E40" i="4"/>
  <c r="E38" i="4" s="1"/>
  <c r="C21" i="4"/>
  <c r="C17" i="4"/>
  <c r="C40" i="4"/>
  <c r="C38" i="4" s="1"/>
  <c r="C37" i="4"/>
  <c r="C35" i="4" s="1"/>
  <c r="C32" i="4"/>
  <c r="C30" i="4" s="1"/>
  <c r="G40" i="4"/>
  <c r="G38" i="4" s="1"/>
  <c r="G17" i="4"/>
  <c r="G37" i="4"/>
  <c r="G35" i="4" s="1"/>
  <c r="G32" i="4"/>
  <c r="G30" i="4" s="1"/>
  <c r="D16" i="4"/>
  <c r="D19" i="4"/>
  <c r="D43" i="4"/>
  <c r="D41" i="4" s="1"/>
  <c r="D20" i="4"/>
  <c r="D29" i="4"/>
  <c r="D27" i="4" s="1"/>
  <c r="F43" i="4"/>
  <c r="F41" i="4" s="1"/>
  <c r="F20" i="4"/>
  <c r="F29" i="4"/>
  <c r="F27" i="4" s="1"/>
  <c r="F21" i="4"/>
  <c r="F40" i="4"/>
  <c r="F38" i="4" s="1"/>
  <c r="F37" i="4"/>
  <c r="F35" i="4" s="1"/>
  <c r="F32" i="4"/>
  <c r="F30" i="4" s="1"/>
  <c r="F17" i="4"/>
  <c r="G4" i="4"/>
  <c r="E15" i="4"/>
  <c r="G16" i="4"/>
  <c r="G19" i="4"/>
  <c r="H19" i="4"/>
  <c r="H16" i="4"/>
  <c r="H14" i="4" s="1"/>
  <c r="E43" i="4"/>
  <c r="E41" i="4" s="1"/>
  <c r="E20" i="4"/>
  <c r="E29" i="4"/>
  <c r="E27" i="4" s="1"/>
  <c r="H20" i="4"/>
  <c r="H29" i="4"/>
  <c r="H27" i="4" s="1"/>
  <c r="H43" i="4"/>
  <c r="H41" i="4" s="1"/>
  <c r="C16" i="4"/>
  <c r="C19" i="4"/>
  <c r="Q124" i="2"/>
  <c r="G7" i="4"/>
  <c r="H4" i="4"/>
  <c r="F15" i="4"/>
  <c r="E7" i="4"/>
  <c r="F16" i="4"/>
  <c r="F14" i="4" s="1"/>
  <c r="F19" i="4"/>
  <c r="C20" i="4"/>
  <c r="C18" i="4" s="1"/>
  <c r="C29" i="4"/>
  <c r="C27" i="4" s="1"/>
  <c r="C43" i="4"/>
  <c r="C41" i="4" s="1"/>
  <c r="G43" i="4"/>
  <c r="G41" i="4" s="1"/>
  <c r="G20" i="4"/>
  <c r="G29" i="4"/>
  <c r="G27" i="4" s="1"/>
  <c r="D17" i="4"/>
  <c r="D37" i="4"/>
  <c r="D35" i="4" s="1"/>
  <c r="D32" i="4"/>
  <c r="D30" i="4" s="1"/>
  <c r="D40" i="4"/>
  <c r="D38" i="4" s="1"/>
  <c r="H15" i="4"/>
  <c r="H7" i="4"/>
  <c r="E4" i="4"/>
  <c r="Q8" i="5"/>
  <c r="K4" i="7"/>
  <c r="O118" i="2"/>
  <c r="S124" i="2"/>
  <c r="N118" i="2"/>
  <c r="P118" i="2"/>
  <c r="Q118" i="2"/>
  <c r="L118" i="2"/>
  <c r="M118" i="2"/>
  <c r="S64" i="1"/>
  <c r="AA66" i="3"/>
  <c r="AA71" i="3"/>
  <c r="S66" i="1"/>
  <c r="S61" i="1"/>
  <c r="S67" i="1"/>
  <c r="S65" i="1"/>
  <c r="G21" i="5"/>
  <c r="G26" i="5"/>
  <c r="E26" i="5"/>
  <c r="E21" i="5"/>
  <c r="H21" i="5"/>
  <c r="H26" i="5"/>
  <c r="D26" i="5"/>
  <c r="D21" i="5"/>
  <c r="F21" i="5"/>
  <c r="F26" i="5"/>
  <c r="I26" i="5"/>
  <c r="I21" i="5"/>
  <c r="C26" i="5"/>
  <c r="C21" i="5"/>
  <c r="S63" i="1"/>
  <c r="C15" i="4"/>
  <c r="H21" i="4"/>
  <c r="G21" i="4"/>
  <c r="N78" i="2"/>
  <c r="C128" i="2"/>
  <c r="D22" i="4"/>
  <c r="G128" i="2"/>
  <c r="E21" i="4"/>
  <c r="D21" i="4"/>
  <c r="F22" i="4"/>
  <c r="C22" i="4"/>
  <c r="F128" i="2"/>
  <c r="H22" i="4"/>
  <c r="H128" i="2"/>
  <c r="P109" i="2"/>
  <c r="G22" i="4"/>
  <c r="E22" i="4"/>
  <c r="E128" i="2"/>
  <c r="D128" i="2"/>
  <c r="F129" i="2"/>
  <c r="C122" i="2"/>
  <c r="G129" i="2"/>
  <c r="G122" i="2"/>
  <c r="D129" i="2"/>
  <c r="C129" i="2"/>
  <c r="H129" i="2"/>
  <c r="D122" i="2"/>
  <c r="F122" i="2"/>
  <c r="E129" i="2"/>
  <c r="H122" i="2"/>
  <c r="E122" i="2"/>
  <c r="M100" i="2"/>
  <c r="M109" i="2"/>
  <c r="P90" i="2"/>
  <c r="N68" i="2"/>
  <c r="O90" i="2"/>
  <c r="L100" i="2"/>
  <c r="P100" i="2"/>
  <c r="L109" i="2"/>
  <c r="Q68" i="2"/>
  <c r="P78" i="2"/>
  <c r="M90" i="2"/>
  <c r="M68" i="2"/>
  <c r="Q90" i="2"/>
  <c r="N100" i="2"/>
  <c r="O68" i="2"/>
  <c r="N109" i="2"/>
  <c r="O103" i="2"/>
  <c r="O107" i="2"/>
  <c r="O106" i="2"/>
  <c r="O105" i="2"/>
  <c r="O110" i="2"/>
  <c r="O104" i="2"/>
  <c r="O108" i="2"/>
  <c r="Q78" i="2"/>
  <c r="P108" i="2"/>
  <c r="P110" i="2"/>
  <c r="P107" i="2"/>
  <c r="P105" i="2"/>
  <c r="P104" i="2"/>
  <c r="P106" i="2"/>
  <c r="P103" i="2"/>
  <c r="H111" i="2"/>
  <c r="H132" i="2" s="1"/>
  <c r="O78" i="2"/>
  <c r="N103" i="2"/>
  <c r="N107" i="2"/>
  <c r="N108" i="2"/>
  <c r="N104" i="2"/>
  <c r="N105" i="2"/>
  <c r="N106" i="2"/>
  <c r="N110" i="2"/>
  <c r="Q103" i="2"/>
  <c r="Q108" i="2"/>
  <c r="Q107" i="2"/>
  <c r="Q105" i="2"/>
  <c r="Q106" i="2"/>
  <c r="Q110" i="2"/>
  <c r="Q104" i="2"/>
  <c r="Q100" i="2"/>
  <c r="G111" i="2"/>
  <c r="G132" i="2" s="1"/>
  <c r="Q109" i="2"/>
  <c r="M103" i="2"/>
  <c r="M110" i="2"/>
  <c r="M107" i="2"/>
  <c r="M108" i="2"/>
  <c r="M104" i="2"/>
  <c r="M106" i="2"/>
  <c r="M105" i="2"/>
  <c r="L110" i="2"/>
  <c r="L103" i="2"/>
  <c r="L104" i="2"/>
  <c r="L106" i="2"/>
  <c r="L105" i="2"/>
  <c r="L107" i="2"/>
  <c r="L108" i="2"/>
  <c r="O109" i="2"/>
  <c r="P101" i="2"/>
  <c r="P88" i="2"/>
  <c r="P92" i="2"/>
  <c r="P93" i="2"/>
  <c r="P98" i="2"/>
  <c r="P94" i="2"/>
  <c r="P84" i="2"/>
  <c r="P86" i="2"/>
  <c r="P96" i="2"/>
  <c r="P87" i="2"/>
  <c r="P83" i="2"/>
  <c r="P82" i="2"/>
  <c r="P91" i="2"/>
  <c r="P81" i="2"/>
  <c r="P89" i="2"/>
  <c r="P95" i="2"/>
  <c r="P97" i="2"/>
  <c r="P85" i="2"/>
  <c r="P99" i="2"/>
  <c r="Q101" i="2"/>
  <c r="Q86" i="2"/>
  <c r="Q92" i="2"/>
  <c r="Q87" i="2"/>
  <c r="Q83" i="2"/>
  <c r="Q84" i="2"/>
  <c r="Q96" i="2"/>
  <c r="Q88" i="2"/>
  <c r="Q95" i="2"/>
  <c r="Q82" i="2"/>
  <c r="Q99" i="2"/>
  <c r="Q93" i="2"/>
  <c r="Q98" i="2"/>
  <c r="Q81" i="2"/>
  <c r="Q97" i="2"/>
  <c r="Q91" i="2"/>
  <c r="Q94" i="2"/>
  <c r="Q89" i="2"/>
  <c r="Q85" i="2"/>
  <c r="M101" i="2"/>
  <c r="M82" i="2"/>
  <c r="M83" i="2"/>
  <c r="M96" i="2"/>
  <c r="M87" i="2"/>
  <c r="M99" i="2"/>
  <c r="M91" i="2"/>
  <c r="M84" i="2"/>
  <c r="M89" i="2"/>
  <c r="D111" i="2"/>
  <c r="D132" i="2" s="1"/>
  <c r="M85" i="2"/>
  <c r="M92" i="2"/>
  <c r="M86" i="2"/>
  <c r="M97" i="2"/>
  <c r="M93" i="2"/>
  <c r="M98" i="2"/>
  <c r="M94" i="2"/>
  <c r="M95" i="2"/>
  <c r="M81" i="2"/>
  <c r="M88" i="2"/>
  <c r="M78" i="2"/>
  <c r="O101" i="2"/>
  <c r="O87" i="2"/>
  <c r="O99" i="2"/>
  <c r="O85" i="2"/>
  <c r="O83" i="2"/>
  <c r="O97" i="2"/>
  <c r="O98" i="2"/>
  <c r="O95" i="2"/>
  <c r="O91" i="2"/>
  <c r="O88" i="2"/>
  <c r="O84" i="2"/>
  <c r="O94" i="2"/>
  <c r="O81" i="2"/>
  <c r="O86" i="2"/>
  <c r="O96" i="2"/>
  <c r="O82" i="2"/>
  <c r="O89" i="2"/>
  <c r="O93" i="2"/>
  <c r="O92" i="2"/>
  <c r="O100" i="2"/>
  <c r="F111" i="2"/>
  <c r="F132" i="2" s="1"/>
  <c r="N101" i="2"/>
  <c r="N96" i="2"/>
  <c r="N97" i="2"/>
  <c r="N82" i="2"/>
  <c r="N85" i="2"/>
  <c r="N83" i="2"/>
  <c r="N99" i="2"/>
  <c r="N84" i="2"/>
  <c r="N92" i="2"/>
  <c r="N95" i="2"/>
  <c r="N81" i="2"/>
  <c r="N89" i="2"/>
  <c r="N87" i="2"/>
  <c r="N93" i="2"/>
  <c r="N88" i="2"/>
  <c r="N94" i="2"/>
  <c r="N86" i="2"/>
  <c r="N91" i="2"/>
  <c r="N98" i="2"/>
  <c r="E111" i="2"/>
  <c r="E132" i="2" s="1"/>
  <c r="N90" i="2"/>
  <c r="L101" i="2"/>
  <c r="L84" i="2"/>
  <c r="L92" i="2"/>
  <c r="L97" i="2"/>
  <c r="L86" i="2"/>
  <c r="L93" i="2"/>
  <c r="L85" i="2"/>
  <c r="L81" i="2"/>
  <c r="L98" i="2"/>
  <c r="L89" i="2"/>
  <c r="L82" i="2"/>
  <c r="C111" i="2"/>
  <c r="C132" i="2" s="1"/>
  <c r="L96" i="2"/>
  <c r="L87" i="2"/>
  <c r="L91" i="2"/>
  <c r="L83" i="2"/>
  <c r="L95" i="2"/>
  <c r="L99" i="2"/>
  <c r="L88" i="2"/>
  <c r="L94" i="2"/>
  <c r="L90" i="2"/>
  <c r="L76" i="2"/>
  <c r="L60" i="2"/>
  <c r="L72" i="2"/>
  <c r="L70" i="2"/>
  <c r="L77" i="2"/>
  <c r="L75" i="2"/>
  <c r="L73" i="2"/>
  <c r="L74" i="2"/>
  <c r="L68" i="2"/>
  <c r="L66" i="2"/>
  <c r="L69" i="2"/>
  <c r="L67" i="2"/>
  <c r="L61" i="2"/>
  <c r="L71" i="2"/>
  <c r="L65" i="2"/>
  <c r="L63" i="2"/>
  <c r="L64" i="2"/>
  <c r="L79" i="2"/>
  <c r="L62" i="2"/>
  <c r="L78" i="2"/>
  <c r="M60" i="2"/>
  <c r="M79" i="2"/>
  <c r="M72" i="2"/>
  <c r="M65" i="2"/>
  <c r="M67" i="2"/>
  <c r="M63" i="2"/>
  <c r="M77" i="2"/>
  <c r="M76" i="2"/>
  <c r="M69" i="2"/>
  <c r="M62" i="2"/>
  <c r="M74" i="2"/>
  <c r="M70" i="2"/>
  <c r="M61" i="2"/>
  <c r="M71" i="2"/>
  <c r="M73" i="2"/>
  <c r="M75" i="2"/>
  <c r="M66" i="2"/>
  <c r="M64" i="2"/>
  <c r="P79" i="2"/>
  <c r="P75" i="2"/>
  <c r="P63" i="2"/>
  <c r="P60" i="2"/>
  <c r="P62" i="2"/>
  <c r="P69" i="2"/>
  <c r="P74" i="2"/>
  <c r="P71" i="2"/>
  <c r="P65" i="2"/>
  <c r="P72" i="2"/>
  <c r="P77" i="2"/>
  <c r="P61" i="2"/>
  <c r="P66" i="2"/>
  <c r="P70" i="2"/>
  <c r="P73" i="2"/>
  <c r="P64" i="2"/>
  <c r="P76" i="2"/>
  <c r="P67" i="2"/>
  <c r="P68" i="2"/>
  <c r="N79" i="2"/>
  <c r="N77" i="2"/>
  <c r="N65" i="2"/>
  <c r="N62" i="2"/>
  <c r="N74" i="2"/>
  <c r="N73" i="2"/>
  <c r="N63" i="2"/>
  <c r="N61" i="2"/>
  <c r="N70" i="2"/>
  <c r="N75" i="2"/>
  <c r="N71" i="2"/>
  <c r="N66" i="2"/>
  <c r="N67" i="2"/>
  <c r="N60" i="2"/>
  <c r="N69" i="2"/>
  <c r="N64" i="2"/>
  <c r="N76" i="2"/>
  <c r="N72" i="2"/>
  <c r="Q79" i="2"/>
  <c r="Q76" i="2"/>
  <c r="Q61" i="2"/>
  <c r="Q74" i="2"/>
  <c r="Q62" i="2"/>
  <c r="Q67" i="2"/>
  <c r="Q75" i="2"/>
  <c r="Q60" i="2"/>
  <c r="Q69" i="2"/>
  <c r="Q72" i="2"/>
  <c r="Q71" i="2"/>
  <c r="Q64" i="2"/>
  <c r="Q63" i="2"/>
  <c r="Q70" i="2"/>
  <c r="Q77" i="2"/>
  <c r="Q73" i="2"/>
  <c r="Q66" i="2"/>
  <c r="Q65" i="2"/>
  <c r="O79" i="2"/>
  <c r="O63" i="2"/>
  <c r="O74" i="2"/>
  <c r="O66" i="2"/>
  <c r="O71" i="2"/>
  <c r="O76" i="2"/>
  <c r="O70" i="2"/>
  <c r="O75" i="2"/>
  <c r="O73" i="2"/>
  <c r="O62" i="2"/>
  <c r="O60" i="2"/>
  <c r="O61" i="2"/>
  <c r="O67" i="2"/>
  <c r="O77" i="2"/>
  <c r="O72" i="2"/>
  <c r="O64" i="2"/>
  <c r="O65" i="2"/>
  <c r="O69" i="2"/>
  <c r="M16" i="7" l="1"/>
  <c r="M15" i="7" s="1"/>
  <c r="R11" i="5"/>
  <c r="R12" i="5" s="1"/>
  <c r="R15" i="5" s="1"/>
  <c r="K49" i="7" s="1"/>
  <c r="K50" i="7" s="1"/>
  <c r="K16" i="7"/>
  <c r="K15" i="7" s="1"/>
  <c r="P11" i="5"/>
  <c r="P12" i="5" s="1"/>
  <c r="P15" i="5" s="1"/>
  <c r="J16" i="7"/>
  <c r="J15" i="7" s="1"/>
  <c r="O11" i="5"/>
  <c r="O12" i="5" s="1"/>
  <c r="O15" i="5" s="1"/>
  <c r="L16" i="7"/>
  <c r="L15" i="7" s="1"/>
  <c r="Q11" i="5"/>
  <c r="Q12" i="5" s="1"/>
  <c r="Q15" i="5" s="1"/>
  <c r="I16" i="7"/>
  <c r="I15" i="7" s="1"/>
  <c r="N11" i="5"/>
  <c r="N12" i="5" s="1"/>
  <c r="N15" i="5" s="1"/>
  <c r="H16" i="7"/>
  <c r="H15" i="7" s="1"/>
  <c r="M11" i="5"/>
  <c r="M12" i="5" s="1"/>
  <c r="M15" i="5" s="1"/>
  <c r="K11" i="5"/>
  <c r="K12" i="5" s="1"/>
  <c r="F16" i="7"/>
  <c r="F15" i="7" s="1"/>
  <c r="N16" i="7"/>
  <c r="N15" i="7" s="1"/>
  <c r="S11" i="5"/>
  <c r="S12" i="5" s="1"/>
  <c r="S15" i="5" s="1"/>
  <c r="L49" i="7" s="1"/>
  <c r="L50" i="7" s="1"/>
  <c r="L11" i="5"/>
  <c r="L12" i="5" s="1"/>
  <c r="L15" i="5" s="1"/>
  <c r="E49" i="7" s="1"/>
  <c r="G16" i="7"/>
  <c r="G15" i="7" s="1"/>
  <c r="P16" i="7"/>
  <c r="P15" i="7" s="1"/>
  <c r="U11" i="5"/>
  <c r="N60" i="7"/>
  <c r="N61" i="7" s="1"/>
  <c r="N62" i="7" s="1"/>
  <c r="U20" i="5" s="1"/>
  <c r="U10" i="5"/>
  <c r="Q9" i="7"/>
  <c r="T12" i="5"/>
  <c r="T15" i="5" s="1"/>
  <c r="M49" i="7" s="1"/>
  <c r="T18" i="5"/>
  <c r="I48" i="7"/>
  <c r="I59" i="7" s="1"/>
  <c r="K14" i="7"/>
  <c r="I47" i="7"/>
  <c r="I58" i="7" s="1"/>
  <c r="K13" i="7"/>
  <c r="R9" i="5"/>
  <c r="L5" i="7"/>
  <c r="E14" i="4"/>
  <c r="C14" i="4"/>
  <c r="G14" i="4"/>
  <c r="F18" i="4"/>
  <c r="H18" i="4"/>
  <c r="D18" i="4"/>
  <c r="G18" i="4"/>
  <c r="D14" i="4"/>
  <c r="R8" i="5"/>
  <c r="L4" i="7"/>
  <c r="S118" i="2"/>
  <c r="T69" i="2"/>
  <c r="T81" i="2"/>
  <c r="T65" i="2"/>
  <c r="T71" i="2"/>
  <c r="T88" i="2"/>
  <c r="T108" i="2"/>
  <c r="T109" i="2"/>
  <c r="T78" i="2"/>
  <c r="T70" i="2"/>
  <c r="T100" i="2"/>
  <c r="T91" i="2"/>
  <c r="T68" i="2"/>
  <c r="T104" i="2"/>
  <c r="T74" i="2"/>
  <c r="T90" i="2"/>
  <c r="T96" i="2"/>
  <c r="L51" i="7" l="1"/>
  <c r="L52" i="7" s="1"/>
  <c r="L53" i="7" s="1"/>
  <c r="S16" i="5" s="1"/>
  <c r="S17" i="5" s="1"/>
  <c r="S21" i="5" s="1"/>
  <c r="S26" i="5" s="1"/>
  <c r="Q16" i="7"/>
  <c r="Q15" i="7" s="1"/>
  <c r="V11" i="5"/>
  <c r="K15" i="5"/>
  <c r="D49" i="7" s="1"/>
  <c r="D50" i="7" s="1"/>
  <c r="E51" i="7" s="1"/>
  <c r="E52" i="7" s="1"/>
  <c r="O60" i="7"/>
  <c r="O61" i="7" s="1"/>
  <c r="O62" i="7" s="1"/>
  <c r="V20" i="5" s="1"/>
  <c r="V10" i="5"/>
  <c r="M50" i="7"/>
  <c r="M51" i="7"/>
  <c r="M52" i="7" s="1"/>
  <c r="U18" i="5"/>
  <c r="U12" i="5"/>
  <c r="U15" i="5" s="1"/>
  <c r="N49" i="7" s="1"/>
  <c r="N50" i="7" s="1"/>
  <c r="R9" i="7"/>
  <c r="J47" i="7"/>
  <c r="J58" i="7" s="1"/>
  <c r="L13" i="7"/>
  <c r="J48" i="7"/>
  <c r="J59" i="7" s="1"/>
  <c r="L14" i="7"/>
  <c r="E50" i="7"/>
  <c r="S9" i="5"/>
  <c r="M5" i="7"/>
  <c r="S8" i="5"/>
  <c r="M4" i="7"/>
  <c r="F49" i="7"/>
  <c r="R16" i="7" l="1"/>
  <c r="R15" i="7" s="1"/>
  <c r="W11" i="5"/>
  <c r="D51" i="7"/>
  <c r="D52" i="7" s="1"/>
  <c r="D53" i="7" s="1"/>
  <c r="K16" i="5" s="1"/>
  <c r="K17" i="5" s="1"/>
  <c r="K21" i="5" s="1"/>
  <c r="M53" i="7"/>
  <c r="T16" i="5" s="1"/>
  <c r="T17" i="5" s="1"/>
  <c r="T21" i="5" s="1"/>
  <c r="T26" i="5" s="1"/>
  <c r="W10" i="5"/>
  <c r="P60" i="7"/>
  <c r="P61" i="7" s="1"/>
  <c r="N51" i="7"/>
  <c r="N52" i="7" s="1"/>
  <c r="N53" i="7" s="1"/>
  <c r="U16" i="5" s="1"/>
  <c r="U17" i="5" s="1"/>
  <c r="U21" i="5" s="1"/>
  <c r="U26" i="5" s="1"/>
  <c r="T9" i="7"/>
  <c r="S9" i="7"/>
  <c r="V18" i="5"/>
  <c r="V12" i="5"/>
  <c r="V15" i="5" s="1"/>
  <c r="O49" i="7" s="1"/>
  <c r="K48" i="7"/>
  <c r="K59" i="7" s="1"/>
  <c r="M14" i="7"/>
  <c r="K47" i="7"/>
  <c r="K58" i="7" s="1"/>
  <c r="M13" i="7"/>
  <c r="F50" i="7"/>
  <c r="F51" i="7"/>
  <c r="F52" i="7" s="1"/>
  <c r="E53" i="7"/>
  <c r="L16" i="5" s="1"/>
  <c r="L17" i="5" s="1"/>
  <c r="L21" i="5" s="1"/>
  <c r="T9" i="5"/>
  <c r="N5" i="7"/>
  <c r="T8" i="5"/>
  <c r="N4" i="7"/>
  <c r="J49" i="7"/>
  <c r="G49" i="7"/>
  <c r="T16" i="7" l="1"/>
  <c r="T15" i="7" s="1"/>
  <c r="Y11" i="5"/>
  <c r="S16" i="7"/>
  <c r="S15" i="7" s="1"/>
  <c r="X11" i="5"/>
  <c r="L26" i="5"/>
  <c r="R60" i="7"/>
  <c r="R61" i="7" s="1"/>
  <c r="Y10" i="5"/>
  <c r="O50" i="7"/>
  <c r="O51" i="7"/>
  <c r="O52" i="7" s="1"/>
  <c r="X10" i="5"/>
  <c r="Q60" i="7"/>
  <c r="Q61" i="7" s="1"/>
  <c r="W18" i="5"/>
  <c r="W12" i="5"/>
  <c r="W15" i="5" s="1"/>
  <c r="P49" i="7" s="1"/>
  <c r="P50" i="7" s="1"/>
  <c r="P62" i="7"/>
  <c r="W20" i="5" s="1"/>
  <c r="L47" i="7"/>
  <c r="L58" i="7" s="1"/>
  <c r="N13" i="7"/>
  <c r="L48" i="7"/>
  <c r="L59" i="7" s="1"/>
  <c r="N14" i="7"/>
  <c r="G50" i="7"/>
  <c r="G51" i="7"/>
  <c r="G52" i="7" s="1"/>
  <c r="J50" i="7"/>
  <c r="F53" i="7"/>
  <c r="M16" i="5" s="1"/>
  <c r="M17" i="5" s="1"/>
  <c r="M21" i="5" s="1"/>
  <c r="K26" i="5"/>
  <c r="U9" i="5"/>
  <c r="O5" i="7"/>
  <c r="U8" i="5"/>
  <c r="O4" i="7"/>
  <c r="H49" i="7"/>
  <c r="O53" i="7" l="1"/>
  <c r="V16" i="5" s="1"/>
  <c r="V17" i="5" s="1"/>
  <c r="V21" i="5" s="1"/>
  <c r="V26" i="5" s="1"/>
  <c r="M26" i="5"/>
  <c r="R62" i="7"/>
  <c r="Y20" i="5" s="1"/>
  <c r="X18" i="5"/>
  <c r="X12" i="5"/>
  <c r="X15" i="5" s="1"/>
  <c r="Q49" i="7" s="1"/>
  <c r="P51" i="7"/>
  <c r="P52" i="7" s="1"/>
  <c r="P53" i="7" s="1"/>
  <c r="W16" i="5" s="1"/>
  <c r="W17" i="5" s="1"/>
  <c r="W21" i="5" s="1"/>
  <c r="W26" i="5" s="1"/>
  <c r="Y12" i="5"/>
  <c r="Y15" i="5" s="1"/>
  <c r="R49" i="7" s="1"/>
  <c r="R50" i="7" s="1"/>
  <c r="Y18" i="5"/>
  <c r="Q62" i="7"/>
  <c r="X20" i="5" s="1"/>
  <c r="M48" i="7"/>
  <c r="M59" i="7" s="1"/>
  <c r="O14" i="7"/>
  <c r="M47" i="7"/>
  <c r="M58" i="7" s="1"/>
  <c r="O13" i="7"/>
  <c r="H51" i="7"/>
  <c r="H52" i="7" s="1"/>
  <c r="H50" i="7"/>
  <c r="K51" i="7"/>
  <c r="K52" i="7" s="1"/>
  <c r="K53" i="7" s="1"/>
  <c r="R16" i="5" s="1"/>
  <c r="R17" i="5" s="1"/>
  <c r="R21" i="5" s="1"/>
  <c r="R26" i="5" s="1"/>
  <c r="G53" i="7"/>
  <c r="N16" i="5" s="1"/>
  <c r="N17" i="5" s="1"/>
  <c r="N21" i="5" s="1"/>
  <c r="V9" i="5"/>
  <c r="P5" i="7"/>
  <c r="V8" i="5"/>
  <c r="P4" i="7"/>
  <c r="I49" i="7"/>
  <c r="N26" i="5" l="1"/>
  <c r="Q50" i="7"/>
  <c r="R51" i="7" s="1"/>
  <c r="R52" i="7" s="1"/>
  <c r="R53" i="7" s="1"/>
  <c r="Y16" i="5" s="1"/>
  <c r="Y17" i="5" s="1"/>
  <c r="Y21" i="5" s="1"/>
  <c r="Q51" i="7"/>
  <c r="Q52" i="7" s="1"/>
  <c r="N47" i="7"/>
  <c r="N58" i="7" s="1"/>
  <c r="P13" i="7"/>
  <c r="N48" i="7"/>
  <c r="N59" i="7" s="1"/>
  <c r="P14" i="7"/>
  <c r="H53" i="7"/>
  <c r="O16" i="5" s="1"/>
  <c r="O17" i="5" s="1"/>
  <c r="O21" i="5" s="1"/>
  <c r="O26" i="5" s="1"/>
  <c r="I50" i="7"/>
  <c r="I51" i="7"/>
  <c r="I52" i="7" s="1"/>
  <c r="W9" i="5"/>
  <c r="Q5" i="7"/>
  <c r="W8" i="5"/>
  <c r="Q4" i="7"/>
  <c r="Q53" i="7" l="1"/>
  <c r="X16" i="5" s="1"/>
  <c r="X17" i="5" s="1"/>
  <c r="X21" i="5" s="1"/>
  <c r="X26" i="5" s="1"/>
  <c r="O47" i="7"/>
  <c r="O58" i="7" s="1"/>
  <c r="Q13" i="7"/>
  <c r="O48" i="7"/>
  <c r="O59" i="7" s="1"/>
  <c r="Q14" i="7"/>
  <c r="I53" i="7"/>
  <c r="P16" i="5" s="1"/>
  <c r="P17" i="5" s="1"/>
  <c r="P21" i="5" s="1"/>
  <c r="P26" i="5" s="1"/>
  <c r="J51" i="7"/>
  <c r="J52" i="7" s="1"/>
  <c r="J53" i="7" s="1"/>
  <c r="Q16" i="5" s="1"/>
  <c r="Q17" i="5" s="1"/>
  <c r="Q21" i="5" s="1"/>
  <c r="Q26" i="5" s="1"/>
  <c r="X9" i="5"/>
  <c r="R5" i="7"/>
  <c r="X8" i="5"/>
  <c r="R4" i="7"/>
  <c r="P48" i="7" l="1"/>
  <c r="P59" i="7" s="1"/>
  <c r="R14" i="7"/>
  <c r="P47" i="7"/>
  <c r="P58" i="7" s="1"/>
  <c r="R13" i="7"/>
  <c r="Y9" i="5"/>
  <c r="S5" i="7"/>
  <c r="Y8" i="5"/>
  <c r="S4" i="7"/>
  <c r="Q47" i="7" l="1"/>
  <c r="Q58" i="7" s="1"/>
  <c r="S13" i="7"/>
  <c r="Q48" i="7"/>
  <c r="Q59" i="7" s="1"/>
  <c r="S14" i="7"/>
  <c r="T5" i="7"/>
  <c r="T4" i="7"/>
  <c r="R48" i="7" l="1"/>
  <c r="R59" i="7" s="1"/>
  <c r="T14" i="7"/>
  <c r="R47" i="7"/>
  <c r="R58" i="7" s="1"/>
  <c r="T13" i="7"/>
  <c r="P35" i="5" l="1"/>
  <c r="P32" i="5" s="1"/>
  <c r="Y23" i="5" l="1"/>
  <c r="S28" i="5"/>
  <c r="T28" i="5"/>
  <c r="L28" i="5"/>
  <c r="K28" i="5"/>
  <c r="U28" i="5"/>
  <c r="M28" i="5"/>
  <c r="V28" i="5"/>
  <c r="R28" i="5"/>
  <c r="N28" i="5"/>
  <c r="O28" i="5"/>
  <c r="W28" i="5"/>
  <c r="Q28" i="5"/>
  <c r="P28" i="5"/>
  <c r="X28" i="5"/>
  <c r="Y26" i="5" l="1"/>
  <c r="Y28" i="5" s="1"/>
  <c r="L33" i="5" s="1"/>
  <c r="K29" i="5"/>
  <c r="L29" i="5" s="1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l="1"/>
  <c r="L41" i="5"/>
  <c r="L4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tc={58A0B94B-7294-44C8-9A44-4F7D96A74674}</author>
    <author>tc={6EE2AE4F-47F7-4C07-AC25-C5A90B021BD7}</author>
    <author>tc={A3B3D2DF-04FB-482D-B125-33DB2F51CE57}</author>
    <author>tc={F1A0CCA7-665C-45AD-A609-ECDDFD4FE39A}</author>
    <author>tc={599576A2-0557-479D-AA02-5C55676A87D0}</author>
    <author>tc={B85BA4E5-EF56-49AA-A2A8-1138C2D172CE}</author>
    <author>tc={5A2E83B5-C967-4957-A57B-FAF4D19887CA}</author>
  </authors>
  <commentList>
    <comment ref="B11" authorId="0" shapeId="0" xr:uid="{58A0B94B-7294-44C8-9A44-4F7D96A746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 de ventas + Gastos de operación</t>
      </text>
    </comment>
    <comment ref="B16" authorId="1" shapeId="0" xr:uid="{6EE2AE4F-47F7-4C07-AC25-C5A90B021B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ISR de 30% </t>
      </text>
    </comment>
    <comment ref="B18" authorId="2" shapeId="0" xr:uid="{A3B3D2DF-04FB-482D-B125-33DB2F51CE57}">
      <text>
        <t>[Threaded comment]
Your version of Excel allows you to read this threaded comment; however, any edits to it will get removed if the file is opened in a newer version of Excel. Learn more: https://go.microsoft.com/fwlink/?linkid=870924
Comment:
    Cada año se destina entre el 0.5% y el 1% de los ingresos consolidados a inversiones de mantenimiento (remodelación de tiendas, cambios de equipo de aire acondicionado y refrigeración, reemplazo de equipos de computo e inversiones en TICs)</t>
      </text>
    </comment>
    <comment ref="P33" authorId="3" shapeId="0" xr:uid="{F1A0CCA7-665C-45AD-A609-ECDDFD4FE39A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Tablas de Damodara | Costs of capital
E/(D+E)</t>
      </text>
    </comment>
    <comment ref="P34" authorId="4" shapeId="0" xr:uid="{599576A2-0557-479D-AA02-5C55676A87D0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Tablas de Damodara | Costs of capital
Cost of equity</t>
      </text>
    </comment>
    <comment ref="L35" authorId="5" shapeId="0" xr:uid="{B85BA4E5-EF56-49AA-A2A8-1138C2D172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Tablas de Damodaran; Retail (Grocery &amp; Food)
CAPM: 11.2002505862575%
WACC: 9.70123610903662%</t>
      </text>
    </comment>
    <comment ref="P36" authorId="6" shapeId="0" xr:uid="{5A2E83B5-C967-4957-A57B-FAF4D19887CA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Tablas de Damodara | Costs of capital
Cost of capital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tc={B21CE1F7-E9E9-4DB7-B4DC-9E256F5AC074}</author>
    <author>tc={39AF3090-6B01-40A1-ADF2-FA3B90CBA5AD}</author>
    <author>tc={392DDEFE-97E6-4A71-83B5-8C863D16E57E}</author>
    <author>tc={920204F1-9659-4C8D-BE06-5067A90095AC}</author>
    <author>tc={055A4520-4F44-4D91-8A3C-6BE33C67D9BE}</author>
    <author>tc={C871AFBD-FCB5-4604-B877-FC534EE216B7}</author>
    <author>tc={78A4C2C8-A6AB-42BD-A522-CADA7CAB9955}</author>
    <author>tc={C3640785-75F8-4B7E-AB5E-498AF675CB0D}</author>
    <author>tc={F434B336-5573-41EB-817E-F93DB546CA6F}</author>
    <author>tc={EC143664-5225-4869-917F-0E0B0EAC8B9E}</author>
    <author>tc={D4C628C7-9A3D-4366-9370-564E2A3CEA1F}</author>
  </authors>
  <commentList>
    <comment ref="E1" authorId="0" shapeId="0" xr:uid="{B21CE1F7-E9E9-4DB7-B4DC-9E256F5AC0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Guía de resultados 2023:
Crecimiento en Estados Unidos se estima del 5.5%.
</t>
      </text>
    </comment>
    <comment ref="K4" authorId="1" shapeId="0" xr:uid="{39AF3090-6B01-40A1-ADF2-FA3B90CBA5AD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 la tasa de incremento a la mitad para México y sube para Estados Unidos (sube a la anterior de México).</t>
      </text>
    </comment>
    <comment ref="C5" authorId="2" shapeId="0" xr:uid="{392DDEFE-97E6-4A71-83B5-8C863D16E57E}">
      <text>
        <t>[Threaded comment]
Your version of Excel allows you to read this threaded comment; however, any edits to it will get removed if the file is opened in a newer version of Excel. Learn more: https://go.microsoft.com/fwlink/?linkid=870924
Comment:
    +20 tiendas en México</t>
      </text>
    </comment>
    <comment ref="D5" authorId="3" shapeId="0" xr:uid="{920204F1-9659-4C8D-BE06-5067A90095AC}">
      <text>
        <t>[Threaded comment]
Your version of Excel allows you to read this threaded comment; however, any edits to it will get removed if the file is opened in a newer version of Excel. Learn more: https://go.microsoft.com/fwlink/?linkid=870924
Comment:
    +273 tiendas en Mex-EU</t>
      </text>
    </comment>
    <comment ref="E5" authorId="4" shapeId="0" xr:uid="{055A4520-4F44-4D91-8A3C-6BE33C67D9BE}">
      <text>
        <t>[Threaded comment]
Your version of Excel allows you to read this threaded comment; however, any edits to it will get removed if the file is opened in a newer version of Excel. Learn more: https://go.microsoft.com/fwlink/?linkid=870924
Comment:
    +67 tiendas en Mex-EU
Adquiere totalidad de acciones Arteli por 1,673 millones de pesos</t>
      </text>
    </comment>
    <comment ref="F5" authorId="5" shapeId="0" xr:uid="{C871AFBD-FCB5-4604-B877-FC534EE216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Guía de resultados 2023:
Crecimiento en México entre 7 y 8%, para Estados Unidos se estima del 5.5%.
</t>
      </text>
    </comment>
    <comment ref="F17" authorId="6" shapeId="0" xr:uid="{78A4C2C8-A6AB-42BD-A522-CADA7CAB9955}">
      <text>
        <t>[Threaded comment]
Your version of Excel allows you to read this threaded comment; however, any edits to it will get removed if the file is opened in a newer version of Excel. Learn more: https://go.microsoft.com/fwlink/?linkid=870924
Comment:
    El total de costos se basa en la proporción de Utilidad neta / Ingresos. El promedio de los últimos años es de 4.7%.</t>
      </text>
    </comment>
    <comment ref="G27" authorId="7" shapeId="0" xr:uid="{C3640785-75F8-4B7E-AB5E-498AF675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Al 31 de diciembre de 2022
*Banco de México</t>
      </text>
    </comment>
    <comment ref="B50" authorId="8" shapeId="0" xr:uid="{F434B336-5573-41EB-817E-F93DB546CA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legislación se determina del 10% en México. Para Estado Unidos es opcional.</t>
      </text>
    </comment>
    <comment ref="B52" authorId="9" shapeId="0" xr:uid="{EC143664-5225-4869-917F-0E0B0EAC8B9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consideran del 30%
En México se paga ISR de 30%, en Estados Unidos se paga un impuesto del 21% + 5% de impuestos estatales (promedio)</t>
      </text>
    </comment>
    <comment ref="A61" authorId="10" shapeId="0" xr:uid="{D4C628C7-9A3D-4366-9370-564E2A3CEA1F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Tablas de Damodaran; Retail (Grocery &amp; Food) | Working capital</t>
      </text>
    </comment>
  </commentList>
</comments>
</file>

<file path=xl/sharedStrings.xml><?xml version="1.0" encoding="utf-8"?>
<sst xmlns="http://schemas.openxmlformats.org/spreadsheetml/2006/main" count="460" uniqueCount="281">
  <si>
    <t>Ventas netas</t>
  </si>
  <si>
    <t>Millones de pesos, excepto importes por acción y número de acciones</t>
  </si>
  <si>
    <t>31 de diciembre</t>
  </si>
  <si>
    <t>Costo de ventas</t>
  </si>
  <si>
    <t>Utilidad bruta</t>
  </si>
  <si>
    <t>Gastos de operación</t>
  </si>
  <si>
    <t>Utilidad de operación</t>
  </si>
  <si>
    <t>Ingresos por intereses</t>
  </si>
  <si>
    <t>Perdida (ganancia) cambiaria</t>
  </si>
  <si>
    <t>Gastos por intereses</t>
  </si>
  <si>
    <t>Participación en los resultados de compañías asociadas</t>
  </si>
  <si>
    <t>Utilidad antes de impuesto a la utilidad</t>
  </si>
  <si>
    <t>Impuestos a la utilidad</t>
  </si>
  <si>
    <t>Utilidad neta consolidada</t>
  </si>
  <si>
    <t>Participación controladora</t>
  </si>
  <si>
    <t>Participación no controladora</t>
  </si>
  <si>
    <t>Promedio ponderado de acciones en circulación</t>
  </si>
  <si>
    <t>Utilidad básica por acción ordinaria</t>
  </si>
  <si>
    <t>Recursos generado por (utilizados en)</t>
  </si>
  <si>
    <t>Actividades de operación</t>
  </si>
  <si>
    <t>Actividades de inverción</t>
  </si>
  <si>
    <t>Actividades de financiamiento</t>
  </si>
  <si>
    <t>Otros gastos financieros</t>
  </si>
  <si>
    <t>Información del Balance General</t>
  </si>
  <si>
    <t>Información de Estado de Resultados</t>
  </si>
  <si>
    <t>Efectivo</t>
  </si>
  <si>
    <t>Cuentas y documentos por cobrar neto</t>
  </si>
  <si>
    <t>Impuestos por recuperar</t>
  </si>
  <si>
    <t>Cuentas por cobrar partes relacionadas</t>
  </si>
  <si>
    <t>Instrumentos financieros derivados</t>
  </si>
  <si>
    <t>Inventarios - neto</t>
  </si>
  <si>
    <t>Total de Activo circulante</t>
  </si>
  <si>
    <t>Inmuebles y equipo - neto</t>
  </si>
  <si>
    <t>Propiedades de inversión</t>
  </si>
  <si>
    <t>Inversión en acciones asociadas</t>
  </si>
  <si>
    <t>Cuentas por cobrar de largo plazo</t>
  </si>
  <si>
    <t>Otros activos neto</t>
  </si>
  <si>
    <t>Cuentas por cobrar de parte relacionada - largo plazo</t>
  </si>
  <si>
    <t>Impuestos a la utilidad diferidos</t>
  </si>
  <si>
    <t>Activos totales</t>
  </si>
  <si>
    <t>Pasivo circulante</t>
  </si>
  <si>
    <t>Cuentas y documentos por pagar proveedores</t>
  </si>
  <si>
    <t>Prestamos de instituciones financieras</t>
  </si>
  <si>
    <t>Porción circulante del pasivo a largo plazo</t>
  </si>
  <si>
    <t>Porción circulante de las obligaciones por arrendamiento</t>
  </si>
  <si>
    <t xml:space="preserve">Total de Pasivo Circulante </t>
  </si>
  <si>
    <t>Impuestos y gastos acumulados</t>
  </si>
  <si>
    <t xml:space="preserve">Préstamos de instituciones financieras </t>
  </si>
  <si>
    <t>Beneficios a los empleados</t>
  </si>
  <si>
    <t>Instrumentos Financieros Derivados</t>
  </si>
  <si>
    <t>Obligaciones relacionadas con derecho de cobro</t>
  </si>
  <si>
    <t>Fideicomitidos</t>
  </si>
  <si>
    <t>Obligaciones por arrendamiento</t>
  </si>
  <si>
    <t>Impuesto a la utilidad diferido</t>
  </si>
  <si>
    <t>Impuestos sobre la renta</t>
  </si>
  <si>
    <t>Otros pasivos de largo plazo</t>
  </si>
  <si>
    <t>Total del Pasivo</t>
  </si>
  <si>
    <t xml:space="preserve">Capital Contable </t>
  </si>
  <si>
    <t>Capital social</t>
  </si>
  <si>
    <t xml:space="preserve">Utilidades Retenidas </t>
  </si>
  <si>
    <t>Remedición de obligaciones laborales</t>
  </si>
  <si>
    <t>Efecto por el reconocimiento de la valuación de instrumentos derivados</t>
  </si>
  <si>
    <t>Efectos de conversión de operaciones extranjeras</t>
  </si>
  <si>
    <t>Participación Controladora</t>
  </si>
  <si>
    <t>Participación no Controladora</t>
  </si>
  <si>
    <t xml:space="preserve">Total del pasivo y capital contable </t>
  </si>
  <si>
    <t>Millones de pesos</t>
  </si>
  <si>
    <t>Prima en colocación de acciones</t>
  </si>
  <si>
    <t>Pagos anticipados</t>
  </si>
  <si>
    <t>Cuentas por pagar compañías afiliadas - Factoring corportaivo SA de CV</t>
  </si>
  <si>
    <t>Porción circulante obligaciones relacionadas con derecho de cobro fideicomitidos</t>
  </si>
  <si>
    <t>Impuestos y contribuciones por pagar</t>
  </si>
  <si>
    <t>Activos mantenidos para la venta</t>
  </si>
  <si>
    <t>Activos por derechos de uso - Neto</t>
  </si>
  <si>
    <t>Flujo de efectivo</t>
  </si>
  <si>
    <t>Flujos netos de efectivo de actividades de financiamiento</t>
  </si>
  <si>
    <t>Miles de pesos</t>
  </si>
  <si>
    <t>Utilidad antes de impuestos a la utilidad</t>
  </si>
  <si>
    <t>Ajustes por:</t>
  </si>
  <si>
    <t>Depreciación y amortización</t>
  </si>
  <si>
    <t>(Ganancia) pérdida en venta de inmuebles y equipo</t>
  </si>
  <si>
    <t xml:space="preserve">Ingreso por intereses </t>
  </si>
  <si>
    <t xml:space="preserve">Valuación de instrumentos financieros derivados </t>
  </si>
  <si>
    <t xml:space="preserve">Gastos por intereses </t>
  </si>
  <si>
    <t>Cambios en el capital del trabajo</t>
  </si>
  <si>
    <t xml:space="preserve">Cuentas y documentos por cobrar - Neto </t>
  </si>
  <si>
    <t xml:space="preserve">Inventarios - Neto </t>
  </si>
  <si>
    <t xml:space="preserve">Otros activos - Neto </t>
  </si>
  <si>
    <t>Aumento (disminución) en:</t>
  </si>
  <si>
    <t xml:space="preserve">Cuentas y documentos por pagar a proveedores </t>
  </si>
  <si>
    <t xml:space="preserve">Otras cuentas por pagar e impuestos </t>
  </si>
  <si>
    <t>Variaciones por obligaciones laborales</t>
  </si>
  <si>
    <t>Flujos netos de efectivo de actividades de operación</t>
  </si>
  <si>
    <t>Actividades de inversión:</t>
  </si>
  <si>
    <t xml:space="preserve">Adquisición de inmuebles y equipo </t>
  </si>
  <si>
    <t>Ingreso por venta de inmuebles y equipo</t>
  </si>
  <si>
    <t>Adquisición de otros activos</t>
  </si>
  <si>
    <t>Intereses cobrados</t>
  </si>
  <si>
    <t xml:space="preserve">Flujos netos de efectivo de actividades de inversión </t>
  </si>
  <si>
    <t>Actividades de financiamiento:</t>
  </si>
  <si>
    <t xml:space="preserve">Pago de préstamos </t>
  </si>
  <si>
    <t xml:space="preserve">Adquisición de préstamos </t>
  </si>
  <si>
    <t xml:space="preserve">Intereses pagados </t>
  </si>
  <si>
    <t>Pago de dividendos</t>
  </si>
  <si>
    <t>Compra de acciones de participación no controladora</t>
  </si>
  <si>
    <t>Recompra de acciones</t>
  </si>
  <si>
    <t xml:space="preserve">Otras partidas </t>
  </si>
  <si>
    <t>(Disminución) aumento neto de efectivo</t>
  </si>
  <si>
    <t>Efectos de las variaciones del tipo de cambio en el balance de efectivo en moneda extranjera</t>
  </si>
  <si>
    <t>Efectivo al principio del período</t>
  </si>
  <si>
    <t>Efectivo al final del período</t>
  </si>
  <si>
    <t>Pago de obligaciones relacionadas con derecho de cobro fideicomitidos</t>
  </si>
  <si>
    <t>Análisis vertical</t>
  </si>
  <si>
    <t>Liquidez</t>
  </si>
  <si>
    <t>Solvencia circulante</t>
  </si>
  <si>
    <t>Prueba de ácido</t>
  </si>
  <si>
    <t>Razón pago inmediato</t>
  </si>
  <si>
    <t>Estabilidad o solvencia</t>
  </si>
  <si>
    <t>Razón pasivo capital</t>
  </si>
  <si>
    <t>Razón de endeudamiento</t>
  </si>
  <si>
    <t>Inversión del capital</t>
  </si>
  <si>
    <t>Valor del capital</t>
  </si>
  <si>
    <t>Productividad</t>
  </si>
  <si>
    <t>Rotación de activos fijos netos</t>
  </si>
  <si>
    <t>Rotación de activos totales</t>
  </si>
  <si>
    <t>Rotación de capital contable</t>
  </si>
  <si>
    <t>Rentabiidad</t>
  </si>
  <si>
    <t>Margen de utilidad sobre ventas</t>
  </si>
  <si>
    <t>Rendmiento sobre capital social</t>
  </si>
  <si>
    <t>Rendimiento sobre el patrimonio</t>
  </si>
  <si>
    <t>Rendimiento sobre la inversión</t>
  </si>
  <si>
    <t>Promedio</t>
  </si>
  <si>
    <t>Total de Activo no circulante</t>
  </si>
  <si>
    <t xml:space="preserve">Total de Pasivo circulante </t>
  </si>
  <si>
    <t xml:space="preserve">Total de Pasivo no circulante </t>
  </si>
  <si>
    <t>Análisis horizontal</t>
  </si>
  <si>
    <t>Minusvalía (plusvalía) neta sobre revaluación de propiedades de inversión</t>
  </si>
  <si>
    <t>Flujos de efectivo de actividades de operación:</t>
  </si>
  <si>
    <t>Otros movimientos - principalmente fluctuación cambiaria</t>
  </si>
  <si>
    <t>Perdida en venta de inmuebles y equipo</t>
  </si>
  <si>
    <t>Otros movimientos de capital</t>
  </si>
  <si>
    <t>Disposición de participación en otras sociedades</t>
  </si>
  <si>
    <t xml:space="preserve">Participación en la (Utilidad) Perdida de asociadas y negocios conjuntos </t>
  </si>
  <si>
    <t>Adquisición de negocio</t>
  </si>
  <si>
    <t xml:space="preserve">Dividendos recibidos </t>
  </si>
  <si>
    <t xml:space="preserve">Adquisición de participación en asociadas </t>
  </si>
  <si>
    <t xml:space="preserve">Prima en venta de acciones </t>
  </si>
  <si>
    <t xml:space="preserve">Recompra de acciones propias </t>
  </si>
  <si>
    <t>Adquisiciones de arrendamiento financiero</t>
  </si>
  <si>
    <t>Factor INPC</t>
  </si>
  <si>
    <t>Se puede apreciar que, en promedio, Chedraui tiene muy poco porcentaje de activos corrientes; 15% corresponde a los inventarios. Y posee una gran cantidad de activos no corrientes;  48% corresponde a inmuebles y equipo.</t>
  </si>
  <si>
    <t>Se puede apreciar que el costo de ventas se ha mantenido estable pero los gastos de operación han incrementado.</t>
  </si>
  <si>
    <t>Respecto a los pasivos, se aprecia que el mayor porcentaje corresponde a las cuentas por pagar a proveedores con 39% y a las obligaciones por arrendamiento con un 22%.</t>
  </si>
  <si>
    <t>En la gráfica se nota que desde el 2018 se incrementó significativamente las obligaciones por arrendamiento y se logró disminuir las cuentas por pagar. Para el 2019 se observa que sus inmuebles disminuyeron</t>
  </si>
  <si>
    <t>Las utilidades de la empresa son estables.</t>
  </si>
  <si>
    <t>La empresa no es capaz de pagar lo que debe en el corto plazo. Ha mejorado su solvencia en los últimos años.</t>
  </si>
  <si>
    <t xml:space="preserve">Debido al gran peso de los inventarios, sin su venta, la empresa posee muy baja solvencia para cubrir las obligaciones </t>
  </si>
  <si>
    <t>Apalancamiento</t>
  </si>
  <si>
    <t>La mayor parte del endeudamiento corresponde a largo plazo.</t>
  </si>
  <si>
    <t>La empresa emplea su planta y equipo de forma eficiente.</t>
  </si>
  <si>
    <t>Se tiene una buena rotacion de activos, los activos tienen buena capacidad para generar ventas.</t>
  </si>
  <si>
    <t>Hay un uso eficiente del activo fijo.</t>
  </si>
  <si>
    <t>Posible reducción/pérdida de mercado.</t>
  </si>
  <si>
    <t>La ROE ha mejorado en los últimos años, indicando que el dinero invertido está generando más ganancias.</t>
  </si>
  <si>
    <t>Se tiene una ROA bastante baja, lo que significa que la administración para conseguir utilidades es deficiente.</t>
  </si>
  <si>
    <t xml:space="preserve">Se observa que en el 2021 Chedraui incrementó sus inventarios e inmuebles y equipo con respecto al 2020. </t>
  </si>
  <si>
    <t>Sin embargo, se aprecia que en el mismo periodo aumentó significativamente sus pasivos.</t>
  </si>
  <si>
    <t>Se puede observar el incremento en el costo de ventas y de los gastos de operación desde el 2019.</t>
  </si>
  <si>
    <t>Sin embargo, la utilidad también incrementó.</t>
  </si>
  <si>
    <t>En los últimos años Chedraui a incrementado su efectivo pero continua sin la posibilidad de cubrir sus deudas de inmediato (deficiencia de efectivo).</t>
  </si>
  <si>
    <t>Los activos han sido financiados pacticamente por los dueños del negocio.</t>
  </si>
  <si>
    <t>Se están utilizando de manera eficiente los recursos de terceros para hacer frente a los compromisos.</t>
  </si>
  <si>
    <t>Se generan pocas utilidades con las ventas.</t>
  </si>
  <si>
    <t>n</t>
  </si>
  <si>
    <t>Concepto</t>
  </si>
  <si>
    <t>Ingresos</t>
  </si>
  <si>
    <t>Costos</t>
  </si>
  <si>
    <t>Utilidad Bruta</t>
  </si>
  <si>
    <t>Depreciación</t>
  </si>
  <si>
    <t>Utilidad antes de impuestos</t>
  </si>
  <si>
    <t>Impuestos</t>
  </si>
  <si>
    <t>Utilidad después de impuestos (Utilidad Neta)</t>
  </si>
  <si>
    <t>Inversiones</t>
  </si>
  <si>
    <t>Capital de trabajo</t>
  </si>
  <si>
    <t>Flujo disponible para el servicio de la deuda</t>
  </si>
  <si>
    <t>Servicio de la deuda</t>
  </si>
  <si>
    <t>Valor de rescate</t>
  </si>
  <si>
    <t>Flujo de Efectivo Libre</t>
  </si>
  <si>
    <t>Flujo de Efectivo Libre Descontado</t>
  </si>
  <si>
    <t>Flujo de Efectivo Libre Descontado Acumulado</t>
  </si>
  <si>
    <t>RESULTADOS</t>
  </si>
  <si>
    <t>Valor del Negocio (VPN)</t>
  </si>
  <si>
    <t>Tasa de descuento</t>
  </si>
  <si>
    <t>Pasivos financieros (-)</t>
  </si>
  <si>
    <t>Pasivos Laborales (-)</t>
  </si>
  <si>
    <t>Pasivos contingentes (-)</t>
  </si>
  <si>
    <t>Tesoreria (+)</t>
  </si>
  <si>
    <t>Valor de la empresa</t>
  </si>
  <si>
    <t>WACC</t>
  </si>
  <si>
    <t>Porcentaje de Capital</t>
  </si>
  <si>
    <t>Costo de capital</t>
  </si>
  <si>
    <t>Porcentaje de Deuda</t>
  </si>
  <si>
    <t>Costo de la Deuda</t>
  </si>
  <si>
    <t xml:space="preserve">Tasa tributaria </t>
  </si>
  <si>
    <t>Modelo financiero Chedraui</t>
  </si>
  <si>
    <t>Periodo</t>
  </si>
  <si>
    <t>Chedraui</t>
  </si>
  <si>
    <t>Súper Chedraui</t>
  </si>
  <si>
    <t>Súper Che</t>
  </si>
  <si>
    <t>Supercito</t>
  </si>
  <si>
    <t>Arteli</t>
  </si>
  <si>
    <t>El Super</t>
  </si>
  <si>
    <t>Fiesta</t>
  </si>
  <si>
    <t>Smart &amp; Final</t>
  </si>
  <si>
    <t>Tiendas en México</t>
  </si>
  <si>
    <t>Tiendas en Estados Unidos</t>
  </si>
  <si>
    <t xml:space="preserve"> </t>
  </si>
  <si>
    <t>Ingresos por segmento</t>
  </si>
  <si>
    <t>Operaciones en México</t>
  </si>
  <si>
    <t>Operaciones en Estados Unidos</t>
  </si>
  <si>
    <t>Segmento inmobiliario</t>
  </si>
  <si>
    <t>Total de ingresos</t>
  </si>
  <si>
    <t>Base gravable</t>
  </si>
  <si>
    <t>Total de impuestos</t>
  </si>
  <si>
    <t>Activo ciruclante</t>
  </si>
  <si>
    <t>Activo circulante - Inventario</t>
  </si>
  <si>
    <t>Pasivo total</t>
  </si>
  <si>
    <t>Capital contable</t>
  </si>
  <si>
    <t>Activo total</t>
  </si>
  <si>
    <t>Activos fijos</t>
  </si>
  <si>
    <t>Total de Activo fijo (no circulante)</t>
  </si>
  <si>
    <t>Utilidad neta</t>
  </si>
  <si>
    <t>FORTALEZAS</t>
  </si>
  <si>
    <t>DEBILIDADES</t>
  </si>
  <si>
    <t>OPORTUNIDADES</t>
  </si>
  <si>
    <t>AMENAZAS</t>
  </si>
  <si>
    <t>Mercado altamente competitivo.
Negocio altamente dependiente de las economías de México y de Estados Unidos.
Ataques cibernéticos.
Vencimiento anticipado de créditos.</t>
  </si>
  <si>
    <t>Dificultades para obtener mercancía de suficiente calidad a bajo costo.
Incapacidad de reaccionar a cambios en la demanda del consumidor.
Imposibilidad de mantener relaciones con los sindicatos.</t>
  </si>
  <si>
    <t>Estrategia de precios bajos.
Productos de fabricantes líderes.
Empresa líder mexicana de tiendas de autoservicio.
Experiencia de compra.</t>
  </si>
  <si>
    <t>Expandir la red de tiendas de autoservicio.
Estructura organizacional sólida.
Nuevos productos de marca propia.
Campañas de descuentos/promociones.</t>
  </si>
  <si>
    <t>Cambio en el capital de trabajo</t>
  </si>
  <si>
    <t>Decisiones financieras estratégicas</t>
  </si>
  <si>
    <t>Especialización en Ingeniería Financiera</t>
  </si>
  <si>
    <t>Fajardo Aguilar Daniel</t>
  </si>
  <si>
    <t>Proyecto final - Valor de las acciones de Chedraui</t>
  </si>
  <si>
    <t>Mayo de 2023</t>
  </si>
  <si>
    <t>Total de costos</t>
  </si>
  <si>
    <t xml:space="preserve">Impuestos </t>
  </si>
  <si>
    <t>Saldo inicial</t>
  </si>
  <si>
    <t>Pago total</t>
  </si>
  <si>
    <t>Intereses</t>
  </si>
  <si>
    <t>Capital</t>
  </si>
  <si>
    <t>Saldo final</t>
  </si>
  <si>
    <t>LIBOR</t>
  </si>
  <si>
    <t>Crédito 2</t>
  </si>
  <si>
    <t>Crédito 1</t>
  </si>
  <si>
    <t>i</t>
  </si>
  <si>
    <t>Tasa deuda</t>
  </si>
  <si>
    <t>R</t>
  </si>
  <si>
    <t>Deuda largo plazo</t>
  </si>
  <si>
    <t>Amortización 1</t>
  </si>
  <si>
    <t>Amortización 2</t>
  </si>
  <si>
    <t>Tipo de cambio USD</t>
  </si>
  <si>
    <t>Participación de los Trabajadores 
en las Utilidades (PTU, 10%)</t>
  </si>
  <si>
    <t>activo circulante</t>
  </si>
  <si>
    <t>Precio de la acción</t>
  </si>
  <si>
    <t>No. de acciones en circulación</t>
  </si>
  <si>
    <r>
      <rPr>
        <b/>
        <i/>
        <sz val="9"/>
        <color theme="0"/>
        <rFont val="Century Gothic"/>
        <family val="2"/>
      </rPr>
      <t xml:space="preserve">Millones    </t>
    </r>
    <r>
      <rPr>
        <b/>
        <i/>
        <sz val="11"/>
        <color theme="0"/>
        <rFont val="Century Gothic"/>
        <family val="2"/>
      </rPr>
      <t xml:space="preserve">     </t>
    </r>
    <r>
      <rPr>
        <b/>
        <sz val="11"/>
        <color theme="0"/>
        <rFont val="Century Gothic"/>
        <family val="2"/>
      </rPr>
      <t xml:space="preserve">                       Deuda total, MXN</t>
    </r>
  </si>
  <si>
    <r>
      <rPr>
        <b/>
        <i/>
        <sz val="9"/>
        <color theme="0"/>
        <rFont val="Century Gothic"/>
        <family val="2"/>
      </rPr>
      <t>Millones</t>
    </r>
    <r>
      <rPr>
        <b/>
        <sz val="11"/>
        <color theme="0"/>
        <rFont val="Century Gothic"/>
        <family val="2"/>
      </rPr>
      <t xml:space="preserve">                                  Deuda total, USD</t>
    </r>
  </si>
  <si>
    <t>Incremento anual en ingresos de México:</t>
  </si>
  <si>
    <t>Incremento anual en ingresos de EUA:</t>
  </si>
  <si>
    <t>Incremento anual en semento inmobiliario:</t>
  </si>
  <si>
    <t>Relación Utilidad/Ingresos</t>
  </si>
  <si>
    <t>Cost of equity
Damodaran</t>
  </si>
  <si>
    <t>Escenario</t>
  </si>
  <si>
    <t>Valor del negocio</t>
  </si>
  <si>
    <t>Precio acción</t>
  </si>
  <si>
    <t>Base</t>
  </si>
  <si>
    <t>Tasa de descuento = 7.5%</t>
  </si>
  <si>
    <t>Incremento anual en ingresos constante durante los 15 años</t>
  </si>
  <si>
    <t>Ingresos totales incrementan en 10% al año durante los primeros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</si>
</sst>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0.000%"/>
    <numFmt numFmtId="167" formatCode="_(&quot;$&quot;* #,##0_);_(&quot;$&quot;* \(#,##0\);_(&quot;$&quot;* &quot;-&quot;??_);_(@_)"/>
    <numFmt numFmtId="168" formatCode="&quot;$&quot;#,##0;[Red]\-&quot;$&quot;#,##0"/>
    <numFmt numFmtId="169" formatCode="_-&quot;$&quot;* #,##0_-;\-&quot;$&quot;* #,##0_-;_-&quot;$&quot;* &quot;-&quot;???_-;_-@_-"/>
    <numFmt numFmtId="170" formatCode="_-&quot;$&quot;* #,##0_-;\-&quot;$&quot;* #,##0_-;_-&quot;$&quot;* &quot;-&quot;??_-;_-@_-"/>
    <numFmt numFmtId="171" formatCode="_-[$$-409]* #,##0.00_ ;_-[$$-409]* \-#,##0.00\ ;_-[$$-409]* &quot;-&quot;??_ ;_-@_ "/>
    <numFmt numFmtId="172" formatCode="_(&quot;$&quot;* #,##0.00_);_(&quot;$&quot;* \(#,##0.00\);_(&quot;$&quot;* &quot;-&quot;??_);_(@_)"/>
    <numFmt numFmtId="173" formatCode="0.0%"/>
    <numFmt numFmtId="174" formatCode="_-&quot;$&quot;* #,##0.00_-;\-&quot;$&quot;* #,##0.00_-;_-&quot;$&quot;* &quot;-&quot;?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8"/>
      <color theme="1"/>
      <name val="Century Gothic"/>
      <family val="2"/>
    </font>
    <font>
      <sz val="8"/>
      <color theme="1"/>
      <name val="Century Gothic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i/>
      <sz val="9"/>
      <color theme="1"/>
      <name val="Century Gothic"/>
      <family val="2"/>
    </font>
    <font>
      <b/>
      <i/>
      <sz val="14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b/>
      <i/>
      <sz val="11"/>
      <color theme="0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entury Gothic"/>
      <family val="2"/>
    </font>
    <font>
      <i/>
      <sz val="9"/>
      <color theme="0" tint="-0.249977111117893"/>
      <name val="Century Gothic"/>
      <family val="2"/>
    </font>
    <font>
      <sz val="12"/>
      <color theme="1"/>
      <name val="Century Gothic"/>
      <family val="2"/>
    </font>
    <font>
      <sz val="10"/>
      <color theme="1" tint="0.249977111117893"/>
      <name val="Century Gothic"/>
      <family val="2"/>
    </font>
    <font>
      <sz val="8"/>
      <color theme="1"/>
      <name val="Calibri"/>
      <family val="2"/>
      <scheme val="minor"/>
    </font>
    <font>
      <b/>
      <sz val="14"/>
      <color theme="0"/>
      <name val="Century Gothic"/>
      <family val="2"/>
    </font>
    <font>
      <b/>
      <sz val="11"/>
      <name val="Century Gothic"/>
      <family val="2"/>
    </font>
    <font>
      <b/>
      <i/>
      <sz val="9"/>
      <color theme="0"/>
      <name val="Century Gothic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 tint="-0.1499984740745262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EEEF0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2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C4399"/>
        <bgColor indexed="64"/>
      </patternFill>
    </fill>
    <fill>
      <patternFill patternType="solid">
        <fgColor rgb="FFF57C00"/>
        <bgColor indexed="64"/>
      </patternFill>
    </fill>
    <fill>
      <patternFill patternType="solid">
        <fgColor rgb="FFF0852E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857A1"/>
      </top>
      <bottom/>
      <diagonal/>
    </border>
    <border>
      <left/>
      <right/>
      <top style="medium">
        <color rgb="FFEE8B20"/>
      </top>
      <bottom/>
      <diagonal/>
    </border>
    <border>
      <left/>
      <right/>
      <top/>
      <bottom style="medium">
        <color rgb="FFEE8B20"/>
      </bottom>
      <diagonal/>
    </border>
    <border>
      <left/>
      <right/>
      <top/>
      <bottom style="medium">
        <color rgb="FF0857A1"/>
      </bottom>
      <diagonal/>
    </border>
    <border>
      <left/>
      <right style="dotted">
        <color indexed="64"/>
      </right>
      <top style="medium">
        <color rgb="FFEE8B20"/>
      </top>
      <bottom/>
      <diagonal/>
    </border>
    <border>
      <left/>
      <right style="dotted">
        <color indexed="64"/>
      </right>
      <top/>
      <bottom style="medium">
        <color rgb="FFEE8B20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medium">
        <color rgb="FF0857A1"/>
      </top>
      <bottom/>
      <diagonal/>
    </border>
    <border>
      <left/>
      <right style="dotted">
        <color indexed="64"/>
      </right>
      <top/>
      <bottom style="medium">
        <color rgb="FF0857A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ashDot">
        <color theme="1" tint="0.499984740745262"/>
      </bottom>
      <diagonal/>
    </border>
    <border>
      <left/>
      <right/>
      <top/>
      <bottom style="dashDot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214">
    <xf numFmtId="0" fontId="0" fillId="0" borderId="0" xfId="0"/>
    <xf numFmtId="0" fontId="1" fillId="3" borderId="0" xfId="0" applyFont="1" applyFill="1" applyAlignment="1">
      <alignment horizontal="left" indent="2"/>
    </xf>
    <xf numFmtId="3" fontId="1" fillId="3" borderId="0" xfId="0" applyNumberFormat="1" applyFont="1" applyFill="1"/>
    <xf numFmtId="0" fontId="1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/>
    <xf numFmtId="164" fontId="1" fillId="3" borderId="0" xfId="0" applyNumberFormat="1" applyFont="1" applyFill="1"/>
    <xf numFmtId="0" fontId="2" fillId="3" borderId="0" xfId="0" applyFont="1" applyFill="1" applyAlignment="1">
      <alignment horizontal="left"/>
    </xf>
    <xf numFmtId="3" fontId="2" fillId="3" borderId="0" xfId="0" applyNumberFormat="1" applyFont="1" applyFill="1"/>
    <xf numFmtId="0" fontId="1" fillId="3" borderId="0" xfId="0" applyFont="1" applyFill="1"/>
    <xf numFmtId="0" fontId="2" fillId="2" borderId="0" xfId="0" applyFont="1" applyFill="1"/>
    <xf numFmtId="0" fontId="7" fillId="3" borderId="0" xfId="0" applyFont="1" applyFill="1" applyAlignment="1">
      <alignment horizontal="left"/>
    </xf>
    <xf numFmtId="3" fontId="7" fillId="3" borderId="0" xfId="0" applyNumberFormat="1" applyFont="1" applyFill="1"/>
    <xf numFmtId="0" fontId="7" fillId="3" borderId="0" xfId="0" applyFont="1" applyFill="1" applyAlignment="1">
      <alignment horizontal="left" indent="2"/>
    </xf>
    <xf numFmtId="0" fontId="10" fillId="3" borderId="0" xfId="0" applyFont="1" applyFill="1" applyAlignment="1">
      <alignment horizontal="right"/>
    </xf>
    <xf numFmtId="9" fontId="7" fillId="4" borderId="0" xfId="2" applyFont="1" applyFill="1"/>
    <xf numFmtId="0" fontId="1" fillId="4" borderId="0" xfId="0" applyFont="1" applyFill="1" applyAlignment="1">
      <alignment horizontal="left" indent="2"/>
    </xf>
    <xf numFmtId="3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 applyAlignment="1">
      <alignment horizontal="left" indent="2"/>
    </xf>
    <xf numFmtId="3" fontId="1" fillId="5" borderId="0" xfId="0" applyNumberFormat="1" applyFont="1" applyFill="1"/>
    <xf numFmtId="0" fontId="1" fillId="5" borderId="0" xfId="0" applyFont="1" applyFill="1"/>
    <xf numFmtId="9" fontId="7" fillId="4" borderId="0" xfId="0" applyNumberFormat="1" applyFont="1" applyFill="1"/>
    <xf numFmtId="9" fontId="1" fillId="4" borderId="0" xfId="2" applyFont="1" applyFill="1"/>
    <xf numFmtId="9" fontId="1" fillId="4" borderId="0" xfId="0" applyNumberFormat="1" applyFont="1" applyFill="1"/>
    <xf numFmtId="9" fontId="1" fillId="5" borderId="0" xfId="2" applyFont="1" applyFill="1"/>
    <xf numFmtId="3" fontId="1" fillId="6" borderId="0" xfId="0" applyNumberFormat="1" applyFont="1" applyFill="1"/>
    <xf numFmtId="0" fontId="1" fillId="6" borderId="0" xfId="0" applyFont="1" applyFill="1"/>
    <xf numFmtId="0" fontId="7" fillId="6" borderId="0" xfId="0" applyFont="1" applyFill="1"/>
    <xf numFmtId="9" fontId="1" fillId="6" borderId="0" xfId="2" applyFont="1" applyFill="1"/>
    <xf numFmtId="9" fontId="6" fillId="6" borderId="0" xfId="0" applyNumberFormat="1" applyFont="1" applyFill="1"/>
    <xf numFmtId="9" fontId="7" fillId="6" borderId="0" xfId="2" applyFont="1" applyFill="1"/>
    <xf numFmtId="0" fontId="2" fillId="6" borderId="0" xfId="0" applyFont="1" applyFill="1"/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right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left" indent="2"/>
    </xf>
    <xf numFmtId="0" fontId="1" fillId="6" borderId="0" xfId="0" applyFont="1" applyFill="1" applyAlignment="1">
      <alignment horizontal="left"/>
    </xf>
    <xf numFmtId="9" fontId="8" fillId="6" borderId="0" xfId="0" applyNumberFormat="1" applyFont="1" applyFill="1"/>
    <xf numFmtId="166" fontId="7" fillId="6" borderId="0" xfId="2" applyNumberFormat="1" applyFont="1" applyFill="1"/>
    <xf numFmtId="166" fontId="7" fillId="6" borderId="0" xfId="0" applyNumberFormat="1" applyFont="1" applyFill="1"/>
    <xf numFmtId="164" fontId="1" fillId="6" borderId="0" xfId="0" applyNumberFormat="1" applyFont="1" applyFill="1"/>
    <xf numFmtId="0" fontId="2" fillId="6" borderId="0" xfId="0" applyFont="1" applyFill="1" applyAlignment="1">
      <alignment horizontal="left"/>
    </xf>
    <xf numFmtId="9" fontId="7" fillId="6" borderId="0" xfId="0" applyNumberFormat="1" applyFont="1" applyFill="1"/>
    <xf numFmtId="0" fontId="1" fillId="3" borderId="0" xfId="0" applyFont="1" applyFill="1" applyAlignment="1">
      <alignment horizontal="left" indent="1"/>
    </xf>
    <xf numFmtId="3" fontId="1" fillId="8" borderId="0" xfId="0" applyNumberFormat="1" applyFont="1" applyFill="1"/>
    <xf numFmtId="3" fontId="2" fillId="6" borderId="0" xfId="0" applyNumberFormat="1" applyFont="1" applyFill="1"/>
    <xf numFmtId="3" fontId="6" fillId="6" borderId="0" xfId="0" applyNumberFormat="1" applyFont="1" applyFill="1"/>
    <xf numFmtId="3" fontId="6" fillId="8" borderId="0" xfId="0" applyNumberFormat="1" applyFont="1" applyFill="1"/>
    <xf numFmtId="3" fontId="7" fillId="6" borderId="0" xfId="0" applyNumberFormat="1" applyFont="1" applyFill="1"/>
    <xf numFmtId="3" fontId="9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4" fontId="7" fillId="3" borderId="0" xfId="0" applyNumberFormat="1" applyFont="1" applyFill="1"/>
    <xf numFmtId="4" fontId="7" fillId="2" borderId="0" xfId="0" applyNumberFormat="1" applyFont="1" applyFill="1"/>
    <xf numFmtId="0" fontId="6" fillId="3" borderId="0" xfId="0" applyFont="1" applyFill="1"/>
    <xf numFmtId="4" fontId="6" fillId="3" borderId="0" xfId="0" applyNumberFormat="1" applyFont="1" applyFill="1"/>
    <xf numFmtId="0" fontId="1" fillId="3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indent="3"/>
    </xf>
    <xf numFmtId="0" fontId="1" fillId="3" borderId="0" xfId="0" applyFont="1" applyFill="1" applyAlignment="1">
      <alignment horizontal="left" indent="3"/>
    </xf>
    <xf numFmtId="0" fontId="6" fillId="6" borderId="0" xfId="0" applyFont="1" applyFill="1"/>
    <xf numFmtId="165" fontId="4" fillId="6" borderId="0" xfId="1" applyNumberFormat="1" applyFont="1" applyFill="1" applyAlignment="1">
      <alignment horizontal="left" indent="3"/>
    </xf>
    <xf numFmtId="165" fontId="4" fillId="6" borderId="0" xfId="1" applyNumberFormat="1" applyFont="1" applyFill="1"/>
    <xf numFmtId="0" fontId="2" fillId="6" borderId="1" xfId="0" applyFont="1" applyFill="1" applyBorder="1" applyAlignment="1">
      <alignment horizontal="right" indent="2"/>
    </xf>
    <xf numFmtId="9" fontId="1" fillId="6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7" fillId="2" borderId="0" xfId="0" applyFont="1" applyFill="1"/>
    <xf numFmtId="0" fontId="1" fillId="4" borderId="0" xfId="0" applyFont="1" applyFill="1" applyAlignment="1">
      <alignment horizontal="left" indent="1"/>
    </xf>
    <xf numFmtId="4" fontId="7" fillId="4" borderId="0" xfId="0" applyNumberFormat="1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9" fillId="3" borderId="0" xfId="0" applyFont="1" applyFill="1" applyAlignment="1">
      <alignment horizontal="center" vertical="center"/>
    </xf>
    <xf numFmtId="9" fontId="7" fillId="8" borderId="0" xfId="0" applyNumberFormat="1" applyFont="1" applyFill="1"/>
    <xf numFmtId="0" fontId="11" fillId="7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left" vertical="center" indent="3"/>
    </xf>
    <xf numFmtId="0" fontId="2" fillId="6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right" vertical="center" indent="1"/>
    </xf>
    <xf numFmtId="0" fontId="14" fillId="13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167" fontId="1" fillId="6" borderId="0" xfId="0" applyNumberFormat="1" applyFont="1" applyFill="1" applyAlignment="1">
      <alignment horizontal="center" vertical="center"/>
    </xf>
    <xf numFmtId="167" fontId="1" fillId="6" borderId="0" xfId="0" applyNumberFormat="1" applyFont="1" applyFill="1" applyAlignment="1">
      <alignment horizontal="right" vertical="center"/>
    </xf>
    <xf numFmtId="168" fontId="1" fillId="6" borderId="0" xfId="0" applyNumberFormat="1" applyFont="1" applyFill="1" applyAlignment="1">
      <alignment horizontal="right" vertical="center"/>
    </xf>
    <xf numFmtId="169" fontId="1" fillId="6" borderId="0" xfId="0" applyNumberFormat="1" applyFont="1" applyFill="1" applyAlignment="1">
      <alignment horizontal="center" vertical="center"/>
    </xf>
    <xf numFmtId="170" fontId="1" fillId="6" borderId="0" xfId="0" applyNumberFormat="1" applyFont="1" applyFill="1" applyAlignment="1">
      <alignment horizontal="center" vertical="center"/>
    </xf>
    <xf numFmtId="10" fontId="1" fillId="6" borderId="0" xfId="0" applyNumberFormat="1" applyFont="1" applyFill="1" applyAlignment="1">
      <alignment horizontal="center" vertical="center"/>
    </xf>
    <xf numFmtId="10" fontId="1" fillId="6" borderId="0" xfId="2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168" fontId="1" fillId="6" borderId="0" xfId="0" applyNumberFormat="1" applyFont="1" applyFill="1" applyAlignment="1">
      <alignment horizontal="center" vertical="center"/>
    </xf>
    <xf numFmtId="167" fontId="2" fillId="6" borderId="0" xfId="0" applyNumberFormat="1" applyFont="1" applyFill="1" applyAlignment="1">
      <alignment horizontal="center" vertical="center"/>
    </xf>
    <xf numFmtId="0" fontId="13" fillId="12" borderId="0" xfId="0" applyFont="1" applyFill="1" applyAlignment="1">
      <alignment horizontal="right" vertical="center"/>
    </xf>
    <xf numFmtId="3" fontId="2" fillId="4" borderId="0" xfId="0" applyNumberFormat="1" applyFont="1" applyFill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1" fontId="10" fillId="3" borderId="0" xfId="1" applyNumberFormat="1" applyFont="1" applyFill="1" applyBorder="1" applyAlignment="1">
      <alignment horizontal="center" vertical="center"/>
    </xf>
    <xf numFmtId="171" fontId="10" fillId="3" borderId="7" xfId="1" applyNumberFormat="1" applyFont="1" applyFill="1" applyBorder="1" applyAlignment="1">
      <alignment horizontal="center" vertical="center"/>
    </xf>
    <xf numFmtId="2" fontId="1" fillId="3" borderId="0" xfId="2" applyNumberFormat="1" applyFont="1" applyFill="1" applyBorder="1" applyAlignment="1">
      <alignment horizontal="center" vertical="center"/>
    </xf>
    <xf numFmtId="2" fontId="1" fillId="3" borderId="7" xfId="2" applyNumberFormat="1" applyFont="1" applyFill="1" applyBorder="1" applyAlignment="1">
      <alignment horizontal="center" vertical="center"/>
    </xf>
    <xf numFmtId="10" fontId="1" fillId="3" borderId="0" xfId="2" applyNumberFormat="1" applyFont="1" applyFill="1" applyBorder="1" applyAlignment="1">
      <alignment horizontal="center" vertical="center"/>
    </xf>
    <xf numFmtId="10" fontId="1" fillId="3" borderId="7" xfId="2" applyNumberFormat="1" applyFont="1" applyFill="1" applyBorder="1" applyAlignment="1">
      <alignment horizontal="center" vertical="center"/>
    </xf>
    <xf numFmtId="171" fontId="10" fillId="3" borderId="4" xfId="1" applyNumberFormat="1" applyFont="1" applyFill="1" applyBorder="1" applyAlignment="1">
      <alignment horizontal="center" vertical="center"/>
    </xf>
    <xf numFmtId="171" fontId="10" fillId="3" borderId="6" xfId="1" applyNumberFormat="1" applyFont="1" applyFill="1" applyBorder="1" applyAlignment="1">
      <alignment horizontal="center" vertical="center"/>
    </xf>
    <xf numFmtId="0" fontId="2" fillId="3" borderId="5" xfId="0" applyFont="1" applyFill="1" applyBorder="1"/>
    <xf numFmtId="0" fontId="10" fillId="3" borderId="9" xfId="0" applyFont="1" applyFill="1" applyBorder="1" applyAlignment="1">
      <alignment horizontal="left" indent="2"/>
    </xf>
    <xf numFmtId="0" fontId="1" fillId="3" borderId="9" xfId="0" applyFont="1" applyFill="1" applyBorder="1" applyAlignment="1">
      <alignment horizontal="left" indent="1"/>
    </xf>
    <xf numFmtId="0" fontId="10" fillId="3" borderId="8" xfId="0" applyFont="1" applyFill="1" applyBorder="1" applyAlignment="1">
      <alignment horizontal="left" indent="2"/>
    </xf>
    <xf numFmtId="0" fontId="0" fillId="6" borderId="0" xfId="0" applyFill="1"/>
    <xf numFmtId="0" fontId="12" fillId="6" borderId="0" xfId="0" applyFont="1" applyFill="1"/>
    <xf numFmtId="0" fontId="20" fillId="6" borderId="19" xfId="0" applyFont="1" applyFill="1" applyBorder="1" applyAlignment="1">
      <alignment horizontal="left" vertical="center"/>
    </xf>
    <xf numFmtId="0" fontId="21" fillId="6" borderId="20" xfId="0" applyFont="1" applyFill="1" applyBorder="1"/>
    <xf numFmtId="0" fontId="22" fillId="6" borderId="20" xfId="0" applyFont="1" applyFill="1" applyBorder="1"/>
    <xf numFmtId="0" fontId="20" fillId="6" borderId="22" xfId="0" applyFont="1" applyFill="1" applyBorder="1" applyAlignment="1">
      <alignment horizontal="left" vertical="center"/>
    </xf>
    <xf numFmtId="0" fontId="22" fillId="6" borderId="0" xfId="0" applyFont="1" applyFill="1"/>
    <xf numFmtId="0" fontId="20" fillId="6" borderId="23" xfId="0" applyFont="1" applyFill="1" applyBorder="1" applyAlignment="1">
      <alignment horizontal="left" vertical="center"/>
    </xf>
    <xf numFmtId="0" fontId="21" fillId="6" borderId="24" xfId="0" applyFont="1" applyFill="1" applyBorder="1"/>
    <xf numFmtId="0" fontId="22" fillId="6" borderId="24" xfId="0" applyFont="1" applyFill="1" applyBorder="1"/>
    <xf numFmtId="0" fontId="13" fillId="12" borderId="0" xfId="0" applyFont="1" applyFill="1" applyAlignment="1">
      <alignment horizontal="right" vertical="center" indent="3"/>
    </xf>
    <xf numFmtId="0" fontId="13" fillId="12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right" vertical="center" indent="2"/>
    </xf>
    <xf numFmtId="167" fontId="16" fillId="6" borderId="0" xfId="0" applyNumberFormat="1" applyFont="1" applyFill="1" applyAlignment="1">
      <alignment horizontal="center" vertical="center"/>
    </xf>
    <xf numFmtId="167" fontId="16" fillId="6" borderId="0" xfId="0" applyNumberFormat="1" applyFont="1" applyFill="1" applyAlignment="1">
      <alignment horizontal="right" vertical="center"/>
    </xf>
    <xf numFmtId="0" fontId="13" fillId="14" borderId="0" xfId="0" applyFont="1" applyFill="1" applyAlignment="1">
      <alignment horizontal="center" vertical="center"/>
    </xf>
    <xf numFmtId="167" fontId="0" fillId="6" borderId="0" xfId="0" applyNumberFormat="1" applyFill="1"/>
    <xf numFmtId="43" fontId="0" fillId="6" borderId="0" xfId="0" applyNumberFormat="1" applyFill="1"/>
    <xf numFmtId="10" fontId="0" fillId="6" borderId="0" xfId="0" applyNumberFormat="1" applyFill="1"/>
    <xf numFmtId="3" fontId="0" fillId="6" borderId="0" xfId="0" applyNumberFormat="1" applyFill="1"/>
    <xf numFmtId="167" fontId="12" fillId="6" borderId="0" xfId="0" applyNumberFormat="1" applyFont="1" applyFill="1"/>
    <xf numFmtId="0" fontId="12" fillId="6" borderId="0" xfId="0" applyFont="1" applyFill="1" applyAlignment="1">
      <alignment horizontal="right"/>
    </xf>
    <xf numFmtId="173" fontId="0" fillId="6" borderId="0" xfId="2" applyNumberFormat="1" applyFont="1" applyFill="1"/>
    <xf numFmtId="0" fontId="23" fillId="6" borderId="0" xfId="0" applyFont="1" applyFill="1"/>
    <xf numFmtId="0" fontId="0" fillId="6" borderId="0" xfId="0" applyFill="1" applyAlignment="1">
      <alignment horizontal="center" vertical="center"/>
    </xf>
    <xf numFmtId="173" fontId="23" fillId="6" borderId="0" xfId="2" applyNumberFormat="1" applyFont="1" applyFill="1"/>
    <xf numFmtId="0" fontId="24" fillId="13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right" vertical="center" wrapText="1"/>
    </xf>
    <xf numFmtId="43" fontId="12" fillId="6" borderId="0" xfId="0" applyNumberFormat="1" applyFont="1" applyFill="1"/>
    <xf numFmtId="10" fontId="7" fillId="6" borderId="0" xfId="2" applyNumberFormat="1" applyFont="1" applyFill="1"/>
    <xf numFmtId="0" fontId="1" fillId="6" borderId="22" xfId="0" applyFont="1" applyFill="1" applyBorder="1" applyAlignment="1">
      <alignment horizontal="center" vertical="center"/>
    </xf>
    <xf numFmtId="10" fontId="1" fillId="6" borderId="7" xfId="0" applyNumberFormat="1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10" fontId="2" fillId="6" borderId="7" xfId="0" applyNumberFormat="1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9" fontId="1" fillId="6" borderId="6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9" fontId="19" fillId="4" borderId="0" xfId="0" applyNumberFormat="1" applyFont="1" applyFill="1"/>
    <xf numFmtId="167" fontId="19" fillId="6" borderId="0" xfId="0" applyNumberFormat="1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4" fontId="4" fillId="6" borderId="0" xfId="0" applyNumberFormat="1" applyFont="1" applyFill="1"/>
    <xf numFmtId="169" fontId="2" fillId="6" borderId="7" xfId="0" applyNumberFormat="1" applyFont="1" applyFill="1" applyBorder="1" applyAlignment="1">
      <alignment horizontal="center" vertical="center"/>
    </xf>
    <xf numFmtId="166" fontId="1" fillId="6" borderId="7" xfId="2" applyNumberFormat="1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right" vertical="center"/>
    </xf>
    <xf numFmtId="3" fontId="1" fillId="6" borderId="7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right" vertical="center"/>
    </xf>
    <xf numFmtId="0" fontId="25" fillId="6" borderId="22" xfId="0" applyFont="1" applyFill="1" applyBorder="1" applyAlignment="1">
      <alignment horizontal="right" vertical="center" wrapText="1"/>
    </xf>
    <xf numFmtId="0" fontId="25" fillId="6" borderId="21" xfId="0" applyFont="1" applyFill="1" applyBorder="1" applyAlignment="1">
      <alignment horizontal="right" vertical="center"/>
    </xf>
    <xf numFmtId="174" fontId="2" fillId="6" borderId="6" xfId="0" applyNumberFormat="1" applyFont="1" applyFill="1" applyBorder="1" applyAlignment="1">
      <alignment horizontal="center" vertical="center"/>
    </xf>
    <xf numFmtId="0" fontId="0" fillId="6" borderId="22" xfId="0" applyFill="1" applyBorder="1" applyAlignment="1">
      <alignment horizontal="right" indent="1"/>
    </xf>
    <xf numFmtId="0" fontId="0" fillId="6" borderId="7" xfId="0" applyFill="1" applyBorder="1" applyAlignment="1">
      <alignment horizontal="center"/>
    </xf>
    <xf numFmtId="10" fontId="0" fillId="6" borderId="7" xfId="0" applyNumberFormat="1" applyFill="1" applyBorder="1" applyAlignment="1">
      <alignment horizontal="center"/>
    </xf>
    <xf numFmtId="0" fontId="0" fillId="6" borderId="21" xfId="0" applyFill="1" applyBorder="1" applyAlignment="1">
      <alignment horizontal="right" indent="1"/>
    </xf>
    <xf numFmtId="167" fontId="1" fillId="6" borderId="6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7" fontId="1" fillId="6" borderId="3" xfId="0" applyNumberFormat="1" applyFont="1" applyFill="1" applyBorder="1" applyAlignment="1">
      <alignment horizontal="center" vertical="center"/>
    </xf>
    <xf numFmtId="10" fontId="0" fillId="6" borderId="3" xfId="0" applyNumberFormat="1" applyFill="1" applyBorder="1" applyAlignment="1">
      <alignment horizontal="center" vertical="center"/>
    </xf>
    <xf numFmtId="172" fontId="0" fillId="6" borderId="3" xfId="0" applyNumberFormat="1" applyFill="1" applyBorder="1" applyAlignment="1">
      <alignment horizontal="center" vertical="center"/>
    </xf>
    <xf numFmtId="0" fontId="20" fillId="6" borderId="0" xfId="0" applyFont="1" applyFill="1" applyAlignment="1">
      <alignment horizontal="left" vertical="center"/>
    </xf>
    <xf numFmtId="0" fontId="21" fillId="6" borderId="0" xfId="0" applyFont="1" applyFill="1"/>
    <xf numFmtId="0" fontId="24" fillId="12" borderId="0" xfId="0" applyFont="1" applyFill="1" applyAlignment="1">
      <alignment horizontal="center" vertical="center"/>
    </xf>
    <xf numFmtId="173" fontId="28" fillId="6" borderId="0" xfId="2" applyNumberFormat="1" applyFont="1" applyFill="1" applyAlignment="1">
      <alignment horizontal="right"/>
    </xf>
    <xf numFmtId="173" fontId="27" fillId="6" borderId="0" xfId="2" applyNumberFormat="1" applyFont="1" applyFill="1" applyAlignment="1">
      <alignment horizontal="center"/>
    </xf>
    <xf numFmtId="173" fontId="21" fillId="6" borderId="0" xfId="2" applyNumberFormat="1" applyFont="1" applyFill="1"/>
    <xf numFmtId="173" fontId="21" fillId="6" borderId="0" xfId="0" applyNumberFormat="1" applyFont="1" applyFill="1"/>
    <xf numFmtId="173" fontId="8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right" vertical="center"/>
    </xf>
    <xf numFmtId="174" fontId="1" fillId="6" borderId="0" xfId="0" applyNumberFormat="1" applyFont="1" applyFill="1" applyAlignment="1">
      <alignment horizontal="center" vertical="center"/>
    </xf>
    <xf numFmtId="0" fontId="13" fillId="12" borderId="19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right" vertical="center" wrapText="1"/>
    </xf>
    <xf numFmtId="169" fontId="2" fillId="6" borderId="7" xfId="0" applyNumberFormat="1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173" fontId="29" fillId="6" borderId="0" xfId="2" applyNumberFormat="1" applyFont="1" applyFill="1" applyAlignment="1">
      <alignment horizontal="center"/>
    </xf>
  </cellXfs>
  <cellStyles count="6">
    <cellStyle name="Comma" xfId="1" builtinId="3"/>
    <cellStyle name="Hyperlink 2" xfId="4" xr:uid="{78AC2453-DCBE-44B1-80D4-5367654AB186}"/>
    <cellStyle name="Normal" xfId="0" builtinId="0"/>
    <cellStyle name="Normal 2" xfId="3" xr:uid="{BDE7E3C7-52A8-45EF-91AB-48808A93129D}"/>
    <cellStyle name="Percent" xfId="2" builtinId="5"/>
    <cellStyle name="Percent 2" xfId="5" xr:uid="{B71DB0AE-3978-4C30-A44A-E71AA514F2E7}"/>
  </cellStyles>
  <dxfs count="0"/>
  <tableStyles count="0" defaultTableStyle="TableStyleMedium2" defaultPivotStyle="PivotStyleLight16"/>
  <colors>
    <mruColors>
      <color rgb="FFEE8B20"/>
      <color rgb="FFF0852E"/>
      <color rgb="FF0857A1"/>
      <color rgb="FF006EC8"/>
      <color rgb="FFF09C44"/>
      <color rgb="FF0C4291"/>
      <color rgb="FF67BD4A"/>
      <color rgb="FF124794"/>
      <color rgb="FFF7CEA9"/>
      <color rgb="FFEF7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Chedraui!$B$3</c:f>
              <c:strCache>
                <c:ptCount val="1"/>
                <c:pt idx="0">
                  <c:v>Tiendas en México</c:v>
                </c:pt>
              </c:strCache>
            </c:strRef>
          </c:tx>
          <c:dPt>
            <c:idx val="0"/>
            <c:bubble3D val="0"/>
            <c:spPr>
              <a:solidFill>
                <a:srgbClr val="F085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780-43FE-880A-C7CB84902685}"/>
              </c:ext>
            </c:extLst>
          </c:dPt>
          <c:dPt>
            <c:idx val="1"/>
            <c:bubble3D val="0"/>
            <c:spPr>
              <a:solidFill>
                <a:srgbClr val="1247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80-43FE-880A-C7CB84902685}"/>
              </c:ext>
            </c:extLst>
          </c:dPt>
          <c:dPt>
            <c:idx val="2"/>
            <c:bubble3D val="0"/>
            <c:spPr>
              <a:solidFill>
                <a:srgbClr val="F7CE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780-43FE-880A-C7CB84902685}"/>
              </c:ext>
            </c:extLst>
          </c:dPt>
          <c:dPt>
            <c:idx val="3"/>
            <c:bubble3D val="0"/>
            <c:spPr>
              <a:solidFill>
                <a:srgbClr val="CF60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80-43FE-880A-C7CB84902685}"/>
              </c:ext>
            </c:extLst>
          </c:dPt>
          <c:dPt>
            <c:idx val="4"/>
            <c:bubble3D val="0"/>
            <c:spPr>
              <a:solidFill>
                <a:srgbClr val="67BD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780-43FE-880A-C7CB849026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Chedraui!$C$4:$C$8</c:f>
              <c:strCache>
                <c:ptCount val="5"/>
                <c:pt idx="0">
                  <c:v>Chedraui</c:v>
                </c:pt>
                <c:pt idx="1">
                  <c:v>Súper Chedraui</c:v>
                </c:pt>
                <c:pt idx="2">
                  <c:v>Súper Che</c:v>
                </c:pt>
                <c:pt idx="3">
                  <c:v>Supercito</c:v>
                </c:pt>
                <c:pt idx="4">
                  <c:v>Arteli</c:v>
                </c:pt>
              </c:strCache>
            </c:strRef>
          </c:cat>
          <c:val>
            <c:numRef>
              <c:f>Chedraui!$B$4:$B$8</c:f>
              <c:numCache>
                <c:formatCode>General</c:formatCode>
                <c:ptCount val="5"/>
                <c:pt idx="0">
                  <c:v>205</c:v>
                </c:pt>
                <c:pt idx="1">
                  <c:v>75</c:v>
                </c:pt>
                <c:pt idx="2">
                  <c:v>8</c:v>
                </c:pt>
                <c:pt idx="3">
                  <c:v>80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0-43FE-880A-C7CB849026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entury Gothic" panose="020B0502020202020204" pitchFamily="34" charset="0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Chedraui!$E$3</c:f>
              <c:strCache>
                <c:ptCount val="1"/>
                <c:pt idx="0">
                  <c:v>Tiendas en Estados Unidos</c:v>
                </c:pt>
              </c:strCache>
            </c:strRef>
          </c:tx>
          <c:dPt>
            <c:idx val="0"/>
            <c:bubble3D val="0"/>
            <c:spPr>
              <a:solidFill>
                <a:srgbClr val="0C429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09-49FC-9A04-3469EA510AE5}"/>
              </c:ext>
            </c:extLst>
          </c:dPt>
          <c:dPt>
            <c:idx val="1"/>
            <c:bubble3D val="0"/>
            <c:spPr>
              <a:solidFill>
                <a:srgbClr val="00914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09-49FC-9A04-3469EA510AE5}"/>
              </c:ext>
            </c:extLst>
          </c:dPt>
          <c:dPt>
            <c:idx val="2"/>
            <c:bubble3D val="0"/>
            <c:spPr>
              <a:solidFill>
                <a:srgbClr val="D020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09-49FC-9A04-3469EA510A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Chedraui!$F$4:$F$6</c:f>
              <c:strCache>
                <c:ptCount val="3"/>
                <c:pt idx="0">
                  <c:v>El Super</c:v>
                </c:pt>
                <c:pt idx="1">
                  <c:v>Fiesta</c:v>
                </c:pt>
                <c:pt idx="2">
                  <c:v>Smart &amp; Final</c:v>
                </c:pt>
              </c:strCache>
            </c:strRef>
          </c:cat>
          <c:val>
            <c:numRef>
              <c:f>Chedraui!$E$4:$E$6</c:f>
              <c:numCache>
                <c:formatCode>General</c:formatCode>
                <c:ptCount val="3"/>
                <c:pt idx="0">
                  <c:v>64</c:v>
                </c:pt>
                <c:pt idx="1">
                  <c:v>59</c:v>
                </c:pt>
                <c:pt idx="2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09-49FC-9A04-3469EA510A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entury Gothic" panose="020B0502020202020204" pitchFamily="34" charset="0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financieras'!$B$4</c:f>
              <c:strCache>
                <c:ptCount val="1"/>
                <c:pt idx="0">
                  <c:v>Solvencia circulante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financieras'!$C$4:$J$4</c:f>
              <c:numCache>
                <c:formatCode>0.00</c:formatCode>
                <c:ptCount val="8"/>
                <c:pt idx="0">
                  <c:v>0.65308731173234025</c:v>
                </c:pt>
                <c:pt idx="1">
                  <c:v>0.68355048859934864</c:v>
                </c:pt>
                <c:pt idx="2">
                  <c:v>0.7480268456375837</c:v>
                </c:pt>
                <c:pt idx="3">
                  <c:v>0.76319840246286963</c:v>
                </c:pt>
                <c:pt idx="4">
                  <c:v>0.74488365573310922</c:v>
                </c:pt>
                <c:pt idx="5">
                  <c:v>0.76683004180481462</c:v>
                </c:pt>
                <c:pt idx="6">
                  <c:v>0.83636882523868827</c:v>
                </c:pt>
                <c:pt idx="7">
                  <c:v>0.87376277786792145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D-4F08-BAE6-37DF461847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1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financieras'!$B$7</c:f>
              <c:strCache>
                <c:ptCount val="1"/>
                <c:pt idx="0">
                  <c:v>Prueba de ácido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financieras'!$C$7:$J$7</c:f>
              <c:numCache>
                <c:formatCode>0.00</c:formatCode>
                <c:ptCount val="8"/>
                <c:pt idx="0">
                  <c:v>0.23653643083421327</c:v>
                </c:pt>
                <c:pt idx="1">
                  <c:v>0.19809989142236709</c:v>
                </c:pt>
                <c:pt idx="2">
                  <c:v>0.22969127516778515</c:v>
                </c:pt>
                <c:pt idx="3">
                  <c:v>0.22773224612056409</c:v>
                </c:pt>
                <c:pt idx="4">
                  <c:v>0.20537466458408438</c:v>
                </c:pt>
                <c:pt idx="5">
                  <c:v>0.33487098169237417</c:v>
                </c:pt>
                <c:pt idx="6">
                  <c:v>0.37175695309256951</c:v>
                </c:pt>
                <c:pt idx="7">
                  <c:v>0.38608284462576203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A-4552-9901-12DE53EA44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1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financieras'!$B$24</c:f>
              <c:strCache>
                <c:ptCount val="1"/>
                <c:pt idx="0">
                  <c:v>Rotación de activos fijos netos</c:v>
                </c:pt>
              </c:strCache>
            </c:strRef>
          </c:tx>
          <c:spPr>
            <a:solidFill>
              <a:srgbClr val="F085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financieras'!$C$24:$J$24</c:f>
              <c:numCache>
                <c:formatCode>0.00</c:formatCode>
                <c:ptCount val="8"/>
                <c:pt idx="0">
                  <c:v>2.0188412865467051</c:v>
                </c:pt>
                <c:pt idx="1">
                  <c:v>2.1757477450908107</c:v>
                </c:pt>
                <c:pt idx="2">
                  <c:v>2.3026902008520995</c:v>
                </c:pt>
                <c:pt idx="3">
                  <c:v>1.6787135230544423</c:v>
                </c:pt>
                <c:pt idx="4">
                  <c:v>1.8816577509012675</c:v>
                </c:pt>
                <c:pt idx="5">
                  <c:v>2.1148602738141711</c:v>
                </c:pt>
                <c:pt idx="6">
                  <c:v>1.732369511870077</c:v>
                </c:pt>
                <c:pt idx="7">
                  <c:v>2.4523944620971401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C-467B-B278-C557EB5438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3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 i="0" u="none" strike="noStrike" kern="1200" baseline="0">
          <a:solidFill>
            <a:schemeClr val="tx1"/>
          </a:solidFill>
          <a:latin typeface="Century Gothic" panose="020B0502020202020204" pitchFamily="34" charset="0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financieras'!$B$14</c:f>
              <c:strCache>
                <c:ptCount val="1"/>
                <c:pt idx="0">
                  <c:v>Apalancamiento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financieras'!$C$14:$J$14</c:f>
              <c:numCache>
                <c:formatCode>0.00</c:formatCode>
                <c:ptCount val="8"/>
                <c:pt idx="0">
                  <c:v>1.0210840972499005</c:v>
                </c:pt>
                <c:pt idx="1">
                  <c:v>0.97791224292820556</c:v>
                </c:pt>
                <c:pt idx="2">
                  <c:v>0.93461592571750129</c:v>
                </c:pt>
                <c:pt idx="3">
                  <c:v>2.2603444419592931</c:v>
                </c:pt>
                <c:pt idx="4">
                  <c:v>2.1883254286756655</c:v>
                </c:pt>
                <c:pt idx="5">
                  <c:v>2.0889625025613006</c:v>
                </c:pt>
                <c:pt idx="6">
                  <c:v>3.3184017146356397</c:v>
                </c:pt>
                <c:pt idx="7">
                  <c:v>2.643542979069295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2-4196-A437-CCA1A5E56C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financieras'!$B$18</c:f>
              <c:strCache>
                <c:ptCount val="1"/>
                <c:pt idx="0">
                  <c:v>Razón de endeudamiento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financieras'!$C$18:$J$18</c:f>
              <c:numCache>
                <c:formatCode>0.00</c:formatCode>
                <c:ptCount val="8"/>
                <c:pt idx="0">
                  <c:v>0.50522599984223393</c:v>
                </c:pt>
                <c:pt idx="1">
                  <c:v>0.49442567567567564</c:v>
                </c:pt>
                <c:pt idx="2">
                  <c:v>0.48308397113094698</c:v>
                </c:pt>
                <c:pt idx="3">
                  <c:v>0.69326808744169033</c:v>
                </c:pt>
                <c:pt idx="4">
                  <c:v>0.68636358435079126</c:v>
                </c:pt>
                <c:pt idx="5">
                  <c:v>0.67628166148879487</c:v>
                </c:pt>
                <c:pt idx="6">
                  <c:v>0.76842739648326708</c:v>
                </c:pt>
                <c:pt idx="7">
                  <c:v>0.72554186797175102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71-4E23-AF19-C5D5D6224E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financieras'!$B$27</c:f>
              <c:strCache>
                <c:ptCount val="1"/>
                <c:pt idx="0">
                  <c:v>Rotación de activos totales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financieras'!$C$27:$J$27</c:f>
              <c:numCache>
                <c:formatCode>0.00</c:formatCode>
                <c:ptCount val="8"/>
                <c:pt idx="0">
                  <c:v>1.5509978701585549</c:v>
                </c:pt>
                <c:pt idx="1">
                  <c:v>1.6615803303303305</c:v>
                </c:pt>
                <c:pt idx="2">
                  <c:v>1.7194720671914483</c:v>
                </c:pt>
                <c:pt idx="3">
                  <c:v>1.3266143784871491</c:v>
                </c:pt>
                <c:pt idx="4">
                  <c:v>1.4811937156000046</c:v>
                </c:pt>
                <c:pt idx="5">
                  <c:v>1.6173423697332201</c:v>
                </c:pt>
                <c:pt idx="6">
                  <c:v>1.336408111174135</c:v>
                </c:pt>
                <c:pt idx="7">
                  <c:v>1.8079183485662895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F-463E-9C04-AB54212FA0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2.5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financieras'!$B$30</c:f>
              <c:strCache>
                <c:ptCount val="1"/>
                <c:pt idx="0">
                  <c:v>Rotación de capital contable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financieras'!$C$30:$J$30</c:f>
              <c:numCache>
                <c:formatCode>0.00</c:formatCode>
                <c:ptCount val="8"/>
                <c:pt idx="0">
                  <c:v>3.1346353128736548</c:v>
                </c:pt>
                <c:pt idx="1">
                  <c:v>3.2863983963174701</c:v>
                </c:pt>
                <c:pt idx="2">
                  <c:v>3.3266389983117608</c:v>
                </c:pt>
                <c:pt idx="3">
                  <c:v>4.3253187206441508</c:v>
                </c:pt>
                <c:pt idx="4">
                  <c:v>4.722473549799342</c:v>
                </c:pt>
                <c:pt idx="5">
                  <c:v>4.9957994672495047</c:v>
                </c:pt>
                <c:pt idx="6">
                  <c:v>5.7711879975505207</c:v>
                </c:pt>
                <c:pt idx="7">
                  <c:v>6.5872282056492582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B-45C7-9856-F06B4D6DBF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7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financieras'!$B$35</c:f>
              <c:strCache>
                <c:ptCount val="1"/>
                <c:pt idx="0">
                  <c:v>Rendmiento sobre capital social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financieras'!$C$35:$J$35</c:f>
              <c:numCache>
                <c:formatCode>0.00</c:formatCode>
                <c:ptCount val="8"/>
                <c:pt idx="0">
                  <c:v>7.1343164607413315E-2</c:v>
                </c:pt>
                <c:pt idx="1">
                  <c:v>7.4615784393793155E-2</c:v>
                </c:pt>
                <c:pt idx="2">
                  <c:v>7.4458356781091722E-2</c:v>
                </c:pt>
                <c:pt idx="3">
                  <c:v>5.9121747558338926E-2</c:v>
                </c:pt>
                <c:pt idx="4">
                  <c:v>5.6074425392192616E-2</c:v>
                </c:pt>
                <c:pt idx="5">
                  <c:v>9.1318898982309951E-2</c:v>
                </c:pt>
                <c:pt idx="6">
                  <c:v>0.10655235762400489</c:v>
                </c:pt>
                <c:pt idx="7">
                  <c:v>0.15687868319447268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A-4075-8B85-A336BBBF85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0.2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financieras'!$B$41</c:f>
              <c:strCache>
                <c:ptCount val="1"/>
                <c:pt idx="0">
                  <c:v>Rendimiento sobre la inversión</c:v>
                </c:pt>
              </c:strCache>
            </c:strRef>
          </c:tx>
          <c:spPr>
            <a:solidFill>
              <a:srgbClr val="F57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financieras'!$C$41:$J$41</c:f>
              <c:numCache>
                <c:formatCode>0.00</c:formatCode>
                <c:ptCount val="8"/>
                <c:pt idx="0">
                  <c:v>3.5300149877731321E-2</c:v>
                </c:pt>
                <c:pt idx="1">
                  <c:v>3.7725225225225222E-2</c:v>
                </c:pt>
                <c:pt idx="2">
                  <c:v>3.8486010871343644E-2</c:v>
                </c:pt>
                <c:pt idx="3">
                  <c:v>1.813317479191439E-2</c:v>
                </c:pt>
                <c:pt idx="4">
                  <c:v>1.7587623439484616E-2</c:v>
                </c:pt>
                <c:pt idx="5">
                  <c:v>2.9563621488352555E-2</c:v>
                </c:pt>
                <c:pt idx="6">
                  <c:v>2.4673851389676687E-2</c:v>
                </c:pt>
                <c:pt idx="7">
                  <c:v>4.3056630344606418E-2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9-407A-823B-1C6F69F9FB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5.000000000000001E-2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'Razones financieras'!$B$38</c:f>
              <c:strCache>
                <c:ptCount val="1"/>
                <c:pt idx="0">
                  <c:v>Rendimiento sobre el patrimonio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0C4399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f>'Razones financieras'!$C$3:$J$3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'Razones financieras'!$C$38:$J$38</c:f>
            </c:numRef>
          </c:val>
          <c:extLst>
            <c:ext xmlns:c16="http://schemas.microsoft.com/office/drawing/2014/chart" uri="{C3380CC4-5D6E-409C-BE32-E72D297353CC}">
              <c16:uniqueId val="{00000001-8801-4B9F-9680-D5BABD2D60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99490544"/>
        <c:axId val="1699491504"/>
      </c:barChart>
      <c:catAx>
        <c:axId val="16994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1504"/>
        <c:crosses val="autoZero"/>
        <c:auto val="1"/>
        <c:lblAlgn val="ctr"/>
        <c:lblOffset val="100"/>
        <c:noMultiLvlLbl val="0"/>
      </c:catAx>
      <c:valAx>
        <c:axId val="1699491504"/>
        <c:scaling>
          <c:orientation val="minMax"/>
          <c:max val="0.2"/>
          <c:min val="-5.000000000000001E-2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699490544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419"/>
              <a:t>Análisis 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'Balance general'!$B$65</c:f>
              <c:strCache>
                <c:ptCount val="1"/>
                <c:pt idx="0">
                  <c:v>Inventarios - neto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xVal>
            <c:numRef>
              <c:f>'Balance general'!$L$59:$S$59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'Balance general'!$L$65:$S$65</c:f>
              <c:numCache>
                <c:formatCode>0%</c:formatCode>
                <c:ptCount val="8"/>
                <c:pt idx="0">
                  <c:v>0.14780705214167389</c:v>
                </c:pt>
                <c:pt idx="1">
                  <c:v>0.16783033033033032</c:v>
                </c:pt>
                <c:pt idx="2">
                  <c:v>0.17550493573545184</c:v>
                </c:pt>
                <c:pt idx="3">
                  <c:v>0.14715768773438215</c:v>
                </c:pt>
                <c:pt idx="4">
                  <c:v>0.15414630797221684</c:v>
                </c:pt>
                <c:pt idx="5">
                  <c:v>0.13251666685093258</c:v>
                </c:pt>
                <c:pt idx="6">
                  <c:v>0.12697107203630176</c:v>
                </c:pt>
                <c:pt idx="7">
                  <c:v>0.14667559032062411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83-4F60-B0A6-FAB0B63313A4}"/>
            </c:ext>
          </c:extLst>
        </c:ser>
        <c:ser>
          <c:idx val="1"/>
          <c:order val="1"/>
          <c:tx>
            <c:strRef>
              <c:f>'Balance general'!$B$69</c:f>
              <c:strCache>
                <c:ptCount val="1"/>
                <c:pt idx="0">
                  <c:v>Inmuebles y equipo - neto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857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'Balance general'!$L$59:$S$59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'Balance general'!$L$69:$S$69</c:f>
              <c:numCache>
                <c:formatCode>0%</c:formatCode>
                <c:ptCount val="8"/>
                <c:pt idx="0">
                  <c:v>0.55498146249112568</c:v>
                </c:pt>
                <c:pt idx="1">
                  <c:v>0.56114864864864866</c:v>
                </c:pt>
                <c:pt idx="2">
                  <c:v>0.56045594197102189</c:v>
                </c:pt>
                <c:pt idx="3">
                  <c:v>0.61545321503704398</c:v>
                </c:pt>
                <c:pt idx="4">
                  <c:v>0.37721275646233599</c:v>
                </c:pt>
                <c:pt idx="5">
                  <c:v>0.36276796868953776</c:v>
                </c:pt>
                <c:pt idx="6">
                  <c:v>0.29904991491775385</c:v>
                </c:pt>
                <c:pt idx="7">
                  <c:v>0.29832890636437787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83-4F60-B0A6-FAB0B63313A4}"/>
            </c:ext>
          </c:extLst>
        </c:ser>
        <c:ser>
          <c:idx val="2"/>
          <c:order val="2"/>
          <c:tx>
            <c:strRef>
              <c:f>'Balance general'!$B$71</c:f>
              <c:strCache>
                <c:ptCount val="1"/>
                <c:pt idx="0">
                  <c:v>Propiedades de inversión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857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'Balance general'!$L$59:$S$59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'Balance general'!$L$71:$S$71</c:f>
              <c:numCache>
                <c:formatCode>0%</c:formatCode>
                <c:ptCount val="8"/>
                <c:pt idx="0">
                  <c:v>0.11593831348110752</c:v>
                </c:pt>
                <c:pt idx="1">
                  <c:v>0.12049549549549551</c:v>
                </c:pt>
                <c:pt idx="2">
                  <c:v>0.12463868234951915</c:v>
                </c:pt>
                <c:pt idx="3">
                  <c:v>9.9229397237720673E-2</c:v>
                </c:pt>
                <c:pt idx="4">
                  <c:v>0.1088441601537916</c:v>
                </c:pt>
                <c:pt idx="5">
                  <c:v>0.10846996650045883</c:v>
                </c:pt>
                <c:pt idx="6">
                  <c:v>7.7963698241633586E-2</c:v>
                </c:pt>
                <c:pt idx="7">
                  <c:v>7.8737302965023459E-2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83-4F60-B0A6-FAB0B63313A4}"/>
            </c:ext>
          </c:extLst>
        </c:ser>
        <c:ser>
          <c:idx val="3"/>
          <c:order val="3"/>
          <c:tx>
            <c:strRef>
              <c:f>'Balance general'!$B$81</c:f>
              <c:strCache>
                <c:ptCount val="1"/>
                <c:pt idx="0">
                  <c:v>Cuentas y documentos por pagar proveedores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</c:marker>
          <c:xVal>
            <c:numRef>
              <c:f>'Balance general'!$L$59:$S$59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'Balance general'!$L$81:$S$81</c:f>
              <c:numCache>
                <c:formatCode>0%</c:formatCode>
                <c:ptCount val="8"/>
                <c:pt idx="0">
                  <c:v>0.50489870799016356</c:v>
                </c:pt>
                <c:pt idx="1">
                  <c:v>0.53213377367801695</c:v>
                </c:pt>
                <c:pt idx="2">
                  <c:v>0.54931697587777073</c:v>
                </c:pt>
                <c:pt idx="3">
                  <c:v>0.31001385315654068</c:v>
                </c:pt>
                <c:pt idx="4">
                  <c:v>0.2909372811843553</c:v>
                </c:pt>
                <c:pt idx="5">
                  <c:v>0.30163971946574242</c:v>
                </c:pt>
                <c:pt idx="6">
                  <c:v>0.24251930724586868</c:v>
                </c:pt>
                <c:pt idx="7">
                  <c:v>0.28585292732845846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83-4F60-B0A6-FAB0B63313A4}"/>
            </c:ext>
          </c:extLst>
        </c:ser>
        <c:ser>
          <c:idx val="4"/>
          <c:order val="4"/>
          <c:tx>
            <c:strRef>
              <c:f>'Balance general'!$B$91</c:f>
              <c:strCache>
                <c:ptCount val="1"/>
                <c:pt idx="0">
                  <c:v>Préstamos de instituciones financieras 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28575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</c:marker>
          <c:xVal>
            <c:numRef>
              <c:f>'Balance general'!$L$59:$S$59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'Balance general'!$L$91:$S$91</c:f>
              <c:numCache>
                <c:formatCode>0%</c:formatCode>
                <c:ptCount val="8"/>
                <c:pt idx="0">
                  <c:v>0.1129240017174753</c:v>
                </c:pt>
                <c:pt idx="1">
                  <c:v>0.14907185969707323</c:v>
                </c:pt>
                <c:pt idx="2">
                  <c:v>0.1684416513001919</c:v>
                </c:pt>
                <c:pt idx="3">
                  <c:v>0.16023484398707039</c:v>
                </c:pt>
                <c:pt idx="4">
                  <c:v>0.14559367810343105</c:v>
                </c:pt>
                <c:pt idx="5">
                  <c:v>0.10112965717929015</c:v>
                </c:pt>
                <c:pt idx="6">
                  <c:v>0.16046466566401241</c:v>
                </c:pt>
                <c:pt idx="7">
                  <c:v>0.12185911541159401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83-4F60-B0A6-FAB0B63313A4}"/>
            </c:ext>
          </c:extLst>
        </c:ser>
        <c:ser>
          <c:idx val="5"/>
          <c:order val="5"/>
          <c:tx>
            <c:strRef>
              <c:f>'Balance general'!$B$96</c:f>
              <c:strCache>
                <c:ptCount val="1"/>
                <c:pt idx="0">
                  <c:v>Obligaciones por arrendamiento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28575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'Balance general'!$L$59:$S$59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'Balance general'!$L$96:$S$96</c:f>
              <c:numCache>
                <c:formatCode>0%</c:formatCode>
                <c:ptCount val="8"/>
                <c:pt idx="0">
                  <c:v>5.9330965299192002E-3</c:v>
                </c:pt>
                <c:pt idx="1">
                  <c:v>5.2006225562768104E-3</c:v>
                </c:pt>
                <c:pt idx="2">
                  <c:v>5.7577240055695627E-3</c:v>
                </c:pt>
                <c:pt idx="3">
                  <c:v>0.37225410647140317</c:v>
                </c:pt>
                <c:pt idx="4">
                  <c:v>0.36279217098462874</c:v>
                </c:pt>
                <c:pt idx="5">
                  <c:v>0.36507054226814234</c:v>
                </c:pt>
                <c:pt idx="6">
                  <c:v>0.41149115603576342</c:v>
                </c:pt>
                <c:pt idx="7">
                  <c:v>0.39993850352163429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83-4F60-B0A6-FAB0B63313A4}"/>
            </c:ext>
          </c:extLst>
        </c:ser>
        <c:ser>
          <c:idx val="6"/>
          <c:order val="6"/>
          <c:tx>
            <c:strRef>
              <c:f>'Balance general'!$B$104</c:f>
              <c:strCache>
                <c:ptCount val="1"/>
                <c:pt idx="0">
                  <c:v>Utilidades Retenidas 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92D050"/>
                </a:solidFill>
                <a:prstDash val="lgDash"/>
              </a:ln>
              <a:effectLst/>
            </c:spPr>
          </c:marker>
          <c:xVal>
            <c:numRef>
              <c:f>'Balance general'!$L$59:$S$59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'Balance general'!$L$104:$S$104</c:f>
              <c:numCache>
                <c:formatCode>0%</c:formatCode>
                <c:ptCount val="8"/>
                <c:pt idx="0">
                  <c:v>0.80968513351933047</c:v>
                </c:pt>
                <c:pt idx="1">
                  <c:v>0.81446284059692642</c:v>
                </c:pt>
                <c:pt idx="2">
                  <c:v>0.83244231851434991</c:v>
                </c:pt>
                <c:pt idx="3">
                  <c:v>0.83385521508983818</c:v>
                </c:pt>
                <c:pt idx="4">
                  <c:v>0.85286391827800068</c:v>
                </c:pt>
                <c:pt idx="5">
                  <c:v>0.8734717573936206</c:v>
                </c:pt>
                <c:pt idx="6">
                  <c:v>0.87256582976117569</c:v>
                </c:pt>
                <c:pt idx="7">
                  <c:v>0.86445844340581179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83-4F60-B0A6-FAB0B63313A4}"/>
            </c:ext>
          </c:extLst>
        </c:ser>
        <c:ser>
          <c:idx val="7"/>
          <c:order val="7"/>
          <c:tx>
            <c:strRef>
              <c:f>'Balance general'!$B$108</c:f>
              <c:strCache>
                <c:ptCount val="1"/>
                <c:pt idx="0">
                  <c:v>Prima en colocación de acciones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00B050"/>
                </a:solidFill>
                <a:prstDash val="lgDash"/>
              </a:ln>
              <a:effectLst/>
            </c:spPr>
          </c:marker>
          <c:xVal>
            <c:numRef>
              <c:f>'Balance general'!$L$59:$S$59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'Balance general'!$L$108:$S$108</c:f>
              <c:numCache>
                <c:formatCode>0%</c:formatCode>
                <c:ptCount val="8"/>
                <c:pt idx="0">
                  <c:v>0.15755280988441611</c:v>
                </c:pt>
                <c:pt idx="1">
                  <c:v>0.13924567525428763</c:v>
                </c:pt>
                <c:pt idx="2">
                  <c:v>0.12703995498030385</c:v>
                </c:pt>
                <c:pt idx="3">
                  <c:v>0.13214791620070082</c:v>
                </c:pt>
                <c:pt idx="4">
                  <c:v>0.12765414082451659</c:v>
                </c:pt>
                <c:pt idx="5">
                  <c:v>0.11863943719691275</c:v>
                </c:pt>
                <c:pt idx="6">
                  <c:v>0.10799142682180037</c:v>
                </c:pt>
                <c:pt idx="7">
                  <c:v>9.6499695183905707E-2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83-4F60-B0A6-FAB0B6331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270560"/>
        <c:axId val="1422241168"/>
      </c:scatterChart>
      <c:valAx>
        <c:axId val="100227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422241168"/>
        <c:crosses val="autoZero"/>
        <c:crossBetween val="midCat"/>
      </c:valAx>
      <c:valAx>
        <c:axId val="142224116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00227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Century Gothic" panose="020B0502020202020204" pitchFamily="34" charset="0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419"/>
              <a:t>Análisis horizontal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'Balance general'!$B$117</c:f>
              <c:strCache>
                <c:ptCount val="1"/>
                <c:pt idx="0">
                  <c:v>Inventarios - neto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'Balance general'!$L$116:$R$116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'Balance general'!$L$117:$R$117</c:f>
              <c:numCache>
                <c:formatCode>0%</c:formatCode>
                <c:ptCount val="7"/>
                <c:pt idx="0">
                  <c:v>0.15628140189015194</c:v>
                </c:pt>
                <c:pt idx="1">
                  <c:v>1.480516349403338E-2</c:v>
                </c:pt>
                <c:pt idx="2">
                  <c:v>0.27531843659957733</c:v>
                </c:pt>
                <c:pt idx="3">
                  <c:v>1.952734024978664E-2</c:v>
                </c:pt>
                <c:pt idx="4">
                  <c:v>-0.13569658039798893</c:v>
                </c:pt>
                <c:pt idx="5">
                  <c:v>0.30364424919628874</c:v>
                </c:pt>
                <c:pt idx="6">
                  <c:v>8.9629068077998086E-2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2BF-40C3-B188-018591EA4AA1}"/>
            </c:ext>
          </c:extLst>
        </c:ser>
        <c:ser>
          <c:idx val="1"/>
          <c:order val="1"/>
          <c:tx>
            <c:strRef>
              <c:f>'Balance general'!$B$119</c:f>
              <c:strCache>
                <c:ptCount val="1"/>
                <c:pt idx="0">
                  <c:v>Inmuebles y equipo - neto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  <a:prstDash val="dash"/>
              </a:ln>
              <a:effectLst/>
            </c:spPr>
          </c:marker>
          <c:xVal>
            <c:numRef>
              <c:f>'Balance general'!$L$116:$R$116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'Balance general'!$L$119:$R$119</c:f>
              <c:numCache>
                <c:formatCode>0%</c:formatCode>
                <c:ptCount val="7"/>
                <c:pt idx="0">
                  <c:v>2.9645417143082442E-2</c:v>
                </c:pt>
                <c:pt idx="1">
                  <c:v>-3.0768903264029035E-2</c:v>
                </c:pt>
                <c:pt idx="2">
                  <c:v>0.67023886199212157</c:v>
                </c:pt>
                <c:pt idx="3">
                  <c:v>-0.40345936660347881</c:v>
                </c:pt>
                <c:pt idx="4">
                  <c:v>-3.3122582637348796E-2</c:v>
                </c:pt>
                <c:pt idx="5">
                  <c:v>0.12160402829902806</c:v>
                </c:pt>
                <c:pt idx="6">
                  <c:v>-5.9026755542460396E-2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2BF-40C3-B188-018591EA4AA1}"/>
            </c:ext>
          </c:extLst>
        </c:ser>
        <c:ser>
          <c:idx val="2"/>
          <c:order val="2"/>
          <c:tx>
            <c:strRef>
              <c:f>'Balance general'!$B$120</c:f>
              <c:strCache>
                <c:ptCount val="1"/>
                <c:pt idx="0">
                  <c:v>Propiedades de inversión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6">
                    <a:lumMod val="75000"/>
                  </a:schemeClr>
                </a:solidFill>
                <a:prstDash val="lgDash"/>
              </a:ln>
              <a:effectLst/>
            </c:spPr>
          </c:marker>
          <c:xVal>
            <c:numRef>
              <c:f>'Balance general'!$L$116:$R$116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'Balance general'!$L$120:$R$120</c:f>
              <c:numCache>
                <c:formatCode>0%</c:formatCode>
                <c:ptCount val="7"/>
                <c:pt idx="0">
                  <c:v>5.8356739919893874E-2</c:v>
                </c:pt>
                <c:pt idx="1">
                  <c:v>3.7968308551061813E-3</c:v>
                </c:pt>
                <c:pt idx="2">
                  <c:v>0.21091182907621042</c:v>
                </c:pt>
                <c:pt idx="3">
                  <c:v>6.7612091827723875E-2</c:v>
                </c:pt>
                <c:pt idx="4">
                  <c:v>1.9204203905398565E-3</c:v>
                </c:pt>
                <c:pt idx="5">
                  <c:v>-2.2070074146451568E-2</c:v>
                </c:pt>
                <c:pt idx="6">
                  <c:v>-4.739309598019803E-2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2BF-40C3-B188-018591EA4AA1}"/>
            </c:ext>
          </c:extLst>
        </c:ser>
        <c:ser>
          <c:idx val="3"/>
          <c:order val="3"/>
          <c:tx>
            <c:strRef>
              <c:f>'Balance general'!$B$123</c:f>
              <c:strCache>
                <c:ptCount val="1"/>
                <c:pt idx="0">
                  <c:v>Cuentas y documentos por pagar proveedores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'Balance general'!$L$116:$R$116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'Balance general'!$L$123:$R$123</c:f>
              <c:numCache>
                <c:formatCode>0%</c:formatCode>
                <c:ptCount val="7"/>
                <c:pt idx="0">
                  <c:v>5.0316370527193621E-2</c:v>
                </c:pt>
                <c:pt idx="1">
                  <c:v>-2.1214354019946535E-2</c:v>
                </c:pt>
                <c:pt idx="2">
                  <c:v>0.231860925069171</c:v>
                </c:pt>
                <c:pt idx="3">
                  <c:v>-9.5684439060448212E-2</c:v>
                </c:pt>
                <c:pt idx="4">
                  <c:v>2.7049521043505331E-2</c:v>
                </c:pt>
                <c:pt idx="5">
                  <c:v>0.24296193974213232</c:v>
                </c:pt>
                <c:pt idx="6">
                  <c:v>4.9739612069818362E-2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2BF-40C3-B188-018591EA4AA1}"/>
            </c:ext>
          </c:extLst>
        </c:ser>
        <c:ser>
          <c:idx val="4"/>
          <c:order val="4"/>
          <c:tx>
            <c:strRef>
              <c:f>'Balance general'!$B$125</c:f>
              <c:strCache>
                <c:ptCount val="1"/>
                <c:pt idx="0">
                  <c:v>Préstamos de instituciones financieras 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ysDash"/>
              </a:ln>
              <a:effectLst/>
            </c:spPr>
          </c:marker>
          <c:xVal>
            <c:numRef>
              <c:f>'Balance general'!$L$116:$R$116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'Balance general'!$L$125:$R$125</c:f>
              <c:numCache>
                <c:formatCode>0%</c:formatCode>
                <c:ptCount val="7"/>
                <c:pt idx="0">
                  <c:v>0.31556702605575082</c:v>
                </c:pt>
                <c:pt idx="1">
                  <c:v>7.1369345414738827E-2</c:v>
                </c:pt>
                <c:pt idx="2">
                  <c:v>1.0764002406820166</c:v>
                </c:pt>
                <c:pt idx="3">
                  <c:v>-0.12443723360719894</c:v>
                </c:pt>
                <c:pt idx="4">
                  <c:v>-0.31192108543283836</c:v>
                </c:pt>
                <c:pt idx="5">
                  <c:v>1.4530190461321748</c:v>
                </c:pt>
                <c:pt idx="6">
                  <c:v>-0.3236618795345706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2BF-40C3-B188-018591EA4AA1}"/>
            </c:ext>
          </c:extLst>
        </c:ser>
        <c:ser>
          <c:idx val="5"/>
          <c:order val="5"/>
          <c:tx>
            <c:strRef>
              <c:f>'Balance general'!$B$126</c:f>
              <c:strCache>
                <c:ptCount val="1"/>
                <c:pt idx="0">
                  <c:v>Obligaciones por arrendamiento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xVal>
            <c:numRef>
              <c:f>'Balance general'!$L$116:$R$116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'Balance general'!$L$126:$R$126</c:f>
              <c:numCache>
                <c:formatCode>0%</c:formatCode>
                <c:ptCount val="7"/>
                <c:pt idx="0">
                  <c:v>-0.126470670871761</c:v>
                </c:pt>
                <c:pt idx="1">
                  <c:v>4.9737962034146266E-2</c:v>
                </c:pt>
                <c:pt idx="2">
                  <c:v>140.12119749745784</c:v>
                </c:pt>
                <c:pt idx="3">
                  <c:v>-6.0882057558074631E-2</c:v>
                </c:pt>
                <c:pt idx="4">
                  <c:v>-3.1699612430283741E-3</c:v>
                </c:pt>
                <c:pt idx="5">
                  <c:v>0.74254400528785247</c:v>
                </c:pt>
                <c:pt idx="6">
                  <c:v>-0.13439855592174033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2BF-40C3-B188-018591EA4AA1}"/>
            </c:ext>
          </c:extLst>
        </c:ser>
        <c:ser>
          <c:idx val="6"/>
          <c:order val="6"/>
          <c:tx>
            <c:strRef>
              <c:f>'Balance general'!$B$130</c:f>
              <c:strCache>
                <c:ptCount val="1"/>
                <c:pt idx="0">
                  <c:v>Utilidades Retenidas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'Balance general'!$L$116:$R$116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'Balance general'!$L$130:$R$130</c:f>
              <c:numCache>
                <c:formatCode>0%</c:formatCode>
                <c:ptCount val="7"/>
                <c:pt idx="0">
                  <c:v>4.6695383161621029E-2</c:v>
                </c:pt>
                <c:pt idx="1">
                  <c:v>1.3993046306656876E-2</c:v>
                </c:pt>
                <c:pt idx="2">
                  <c:v>-9.5937092297536553E-2</c:v>
                </c:pt>
                <c:pt idx="3">
                  <c:v>1.8013501867717219E-2</c:v>
                </c:pt>
                <c:pt idx="4">
                  <c:v>6.2802630625839129E-2</c:v>
                </c:pt>
                <c:pt idx="5">
                  <c:v>-2.7810201724105754E-2</c:v>
                </c:pt>
                <c:pt idx="6">
                  <c:v>0.10757657753604288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2BF-40C3-B188-018591EA4AA1}"/>
            </c:ext>
          </c:extLst>
        </c:ser>
        <c:ser>
          <c:idx val="7"/>
          <c:order val="7"/>
          <c:tx>
            <c:strRef>
              <c:f>'Balance general'!$B$131</c:f>
              <c:strCache>
                <c:ptCount val="1"/>
                <c:pt idx="0">
                  <c:v>Prima en colocación de acciones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'Balance general'!$L$116:$R$116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'Balance general'!$L$131:$R$131</c:f>
              <c:numCache>
                <c:formatCode>0%</c:formatCode>
                <c:ptCount val="7"/>
                <c:pt idx="0">
                  <c:v>-8.0353839990095932E-2</c:v>
                </c:pt>
                <c:pt idx="1">
                  <c:v>-9.4870505843626773E-2</c:v>
                </c:pt>
                <c:pt idx="2">
                  <c:v>-6.1180416776581148E-2</c:v>
                </c:pt>
                <c:pt idx="3">
                  <c:v>-3.8522703352075416E-2</c:v>
                </c:pt>
                <c:pt idx="4">
                  <c:v>-3.5554556346902078E-2</c:v>
                </c:pt>
                <c:pt idx="5">
                  <c:v>-0.11414645723239658</c:v>
                </c:pt>
                <c:pt idx="6">
                  <c:v>-1.0022584869709972E-3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2BF-40C3-B188-018591EA4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270560"/>
        <c:axId val="1422241168"/>
      </c:scatterChart>
      <c:valAx>
        <c:axId val="1002270560"/>
        <c:scaling>
          <c:orientation val="minMax"/>
          <c:max val="2021"/>
          <c:min val="2016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422241168"/>
        <c:crosses val="autoZero"/>
        <c:crossBetween val="midCat"/>
        <c:majorUnit val="1"/>
      </c:valAx>
      <c:valAx>
        <c:axId val="1422241168"/>
        <c:scaling>
          <c:orientation val="minMax"/>
          <c:max val="1"/>
          <c:min val="-0.5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00227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 i="0" u="none" strike="noStrike" kern="1200" baseline="0">
          <a:solidFill>
            <a:schemeClr val="tx1"/>
          </a:solidFill>
          <a:latin typeface="Century Gothic" panose="020B0502020202020204" pitchFamily="34" charset="0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419"/>
              <a:t>Análisis horizontal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'Estado de resultados'!$B$60</c:f>
              <c:strCache>
                <c:ptCount val="1"/>
                <c:pt idx="0">
                  <c:v>Costo de ventas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'Estado de resultados'!$L$58:$R$58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'Estado de resultados'!$L$60:$R$60</c:f>
              <c:numCache>
                <c:formatCode>0%</c:formatCode>
                <c:ptCount val="7"/>
                <c:pt idx="0">
                  <c:v>8.0505746929518285E-2</c:v>
                </c:pt>
                <c:pt idx="1">
                  <c:v>1.4954769875172857E-3</c:v>
                </c:pt>
                <c:pt idx="2">
                  <c:v>0.16590230340137424</c:v>
                </c:pt>
                <c:pt idx="3">
                  <c:v>8.2719013385326168E-2</c:v>
                </c:pt>
                <c:pt idx="4">
                  <c:v>9.0230905140832984E-2</c:v>
                </c:pt>
                <c:pt idx="5">
                  <c:v>0.12246658929539267</c:v>
                </c:pt>
                <c:pt idx="6">
                  <c:v>0.26603512257870832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E6-4F6C-AB23-7E59D7F20DC0}"/>
            </c:ext>
          </c:extLst>
        </c:ser>
        <c:ser>
          <c:idx val="1"/>
          <c:order val="1"/>
          <c:tx>
            <c:strRef>
              <c:f>'Estado de resultados'!$B$61</c:f>
              <c:strCache>
                <c:ptCount val="1"/>
                <c:pt idx="0">
                  <c:v>Utilidad bruta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'Estado de resultados'!$L$58:$R$58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'Estado de resultados'!$L$61:$R$61</c:f>
              <c:numCache>
                <c:formatCode>0%</c:formatCode>
                <c:ptCount val="7"/>
                <c:pt idx="0">
                  <c:v>0.13314653796688636</c:v>
                </c:pt>
                <c:pt idx="1">
                  <c:v>1.4782704247218614E-2</c:v>
                </c:pt>
                <c:pt idx="2">
                  <c:v>0.20239198839786465</c:v>
                </c:pt>
                <c:pt idx="3">
                  <c:v>0.10147780882928403</c:v>
                </c:pt>
                <c:pt idx="4">
                  <c:v>0.12526743545045171</c:v>
                </c:pt>
                <c:pt idx="5">
                  <c:v>0.13047797751302714</c:v>
                </c:pt>
                <c:pt idx="6">
                  <c:v>0.3110000125926744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E6-4F6C-AB23-7E59D7F20DC0}"/>
            </c:ext>
          </c:extLst>
        </c:ser>
        <c:ser>
          <c:idx val="2"/>
          <c:order val="2"/>
          <c:tx>
            <c:strRef>
              <c:f>'Estado de resultados'!$B$62</c:f>
              <c:strCache>
                <c:ptCount val="1"/>
                <c:pt idx="0">
                  <c:v>Gastos de operación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'Estado de resultados'!$L$58:$R$58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'Estado de resultados'!$L$62:$R$62</c:f>
              <c:numCache>
                <c:formatCode>0%</c:formatCode>
                <c:ptCount val="7"/>
                <c:pt idx="0">
                  <c:v>0.13692962716242363</c:v>
                </c:pt>
                <c:pt idx="1">
                  <c:v>2.661213987716593E-2</c:v>
                </c:pt>
                <c:pt idx="2">
                  <c:v>0.22694529842227218</c:v>
                </c:pt>
                <c:pt idx="3">
                  <c:v>0.11447246338741213</c:v>
                </c:pt>
                <c:pt idx="4">
                  <c:v>0.1046605981225126</c:v>
                </c:pt>
                <c:pt idx="5">
                  <c:v>0.13856325369537115</c:v>
                </c:pt>
                <c:pt idx="6">
                  <c:v>0.27243845240289111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E6-4F6C-AB23-7E59D7F20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270560"/>
        <c:axId val="1422241168"/>
      </c:scatterChart>
      <c:valAx>
        <c:axId val="1002270560"/>
        <c:scaling>
          <c:orientation val="minMax"/>
          <c:max val="2021"/>
          <c:min val="2016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422241168"/>
        <c:crosses val="autoZero"/>
        <c:crossBetween val="midCat"/>
        <c:majorUnit val="1"/>
      </c:valAx>
      <c:valAx>
        <c:axId val="1422241168"/>
        <c:scaling>
          <c:orientation val="minMax"/>
          <c:max val="0.25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00227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 i="0" u="none" strike="noStrike" kern="1200" baseline="0">
          <a:solidFill>
            <a:schemeClr val="tx1"/>
          </a:solidFill>
          <a:latin typeface="Century Gothic" panose="020B0502020202020204" pitchFamily="34" charset="0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s-419"/>
              <a:t>Análisis 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'Estado de resultados'!$B$33</c:f>
              <c:strCache>
                <c:ptCount val="1"/>
                <c:pt idx="0">
                  <c:v>Costo de ventas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</c:marker>
          <c:xVal>
            <c:numRef>
              <c:f>'Estado de resultados'!$L$31:$S$31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'Estado de resultados'!$L$33:$S$33</c:f>
              <c:numCache>
                <c:formatCode>0%</c:formatCode>
                <c:ptCount val="8"/>
                <c:pt idx="0">
                  <c:v>0.80190214627199674</c:v>
                </c:pt>
                <c:pt idx="1">
                  <c:v>0.79423691671655605</c:v>
                </c:pt>
                <c:pt idx="2">
                  <c:v>0.79206622754617639</c:v>
                </c:pt>
                <c:pt idx="3">
                  <c:v>0.78695348656824471</c:v>
                </c:pt>
                <c:pt idx="4">
                  <c:v>0.78405939293743199</c:v>
                </c:pt>
                <c:pt idx="5">
                  <c:v>0.77866112504870555</c:v>
                </c:pt>
                <c:pt idx="6">
                  <c:v>0.77742762100303997</c:v>
                </c:pt>
                <c:pt idx="7">
                  <c:v>0.77133029468699632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F-4FEC-8BBB-9EA4F7601F8F}"/>
            </c:ext>
          </c:extLst>
        </c:ser>
        <c:ser>
          <c:idx val="4"/>
          <c:order val="1"/>
          <c:tx>
            <c:strRef>
              <c:f>'Estado de resultados'!$B$34</c:f>
              <c:strCache>
                <c:ptCount val="1"/>
                <c:pt idx="0">
                  <c:v>Utilidad bruta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28575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</c:marker>
          <c:xVal>
            <c:numRef>
              <c:f>'Estado de resultados'!$L$31:$S$31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'Estado de resultados'!$L$34:$S$34</c:f>
              <c:numCache>
                <c:formatCode>0%</c:formatCode>
                <c:ptCount val="8"/>
                <c:pt idx="0">
                  <c:v>0.19809785372800323</c:v>
                </c:pt>
                <c:pt idx="1">
                  <c:v>0.20576308328344384</c:v>
                </c:pt>
                <c:pt idx="2">
                  <c:v>0.20792319972933826</c:v>
                </c:pt>
                <c:pt idx="3">
                  <c:v>0.21304651343175532</c:v>
                </c:pt>
                <c:pt idx="4">
                  <c:v>0.21594060706256812</c:v>
                </c:pt>
                <c:pt idx="5">
                  <c:v>0.2213457108287134</c:v>
                </c:pt>
                <c:pt idx="6">
                  <c:v>0.22257237899696003</c:v>
                </c:pt>
                <c:pt idx="7">
                  <c:v>0.22866970531300371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F-4FEC-8BBB-9EA4F7601F8F}"/>
            </c:ext>
          </c:extLst>
        </c:ser>
        <c:ser>
          <c:idx val="5"/>
          <c:order val="2"/>
          <c:tx>
            <c:strRef>
              <c:f>'Estado de resultados'!$B$35</c:f>
              <c:strCache>
                <c:ptCount val="1"/>
                <c:pt idx="0">
                  <c:v>Gastos de operación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28575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'Estado de resultados'!$L$31:$S$31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xVal>
          <c:yVal>
            <c:numRef>
              <c:f>'Estado de resultados'!$L$35:$S$35</c:f>
              <c:numCache>
                <c:formatCode>0%</c:formatCode>
                <c:ptCount val="8"/>
                <c:pt idx="0">
                  <c:v>0.15131980469942019</c:v>
                </c:pt>
                <c:pt idx="1">
                  <c:v>0.1576997368094071</c:v>
                </c:pt>
                <c:pt idx="2">
                  <c:v>0.16121290295296195</c:v>
                </c:pt>
                <c:pt idx="3">
                  <c:v>0.16855840249588472</c:v>
                </c:pt>
                <c:pt idx="4">
                  <c:v>0.17286373152661791</c:v>
                </c:pt>
                <c:pt idx="5">
                  <c:v>0.1739457368050476</c:v>
                </c:pt>
                <c:pt idx="6">
                  <c:v>0.17616069012717059</c:v>
                </c:pt>
                <c:pt idx="7">
                  <c:v>0.17566306502240422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F-4FEC-8BBB-9EA4F7601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270560"/>
        <c:axId val="1422241168"/>
      </c:scatterChart>
      <c:valAx>
        <c:axId val="100227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422241168"/>
        <c:crosses val="autoZero"/>
        <c:crossBetween val="midCat"/>
      </c:valAx>
      <c:valAx>
        <c:axId val="142224116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419"/>
          </a:p>
        </c:txPr>
        <c:crossAx val="100227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 i="0" u="none" strike="noStrike" kern="1200" baseline="0">
          <a:solidFill>
            <a:schemeClr val="tx1"/>
          </a:solidFill>
          <a:latin typeface="Century Gothic" panose="020B0502020202020204" pitchFamily="34" charset="0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382162</xdr:colOff>
      <xdr:row>0</xdr:row>
      <xdr:rowOff>0</xdr:rowOff>
    </xdr:from>
    <xdr:ext cx="797153" cy="953326"/>
    <xdr:pic>
      <xdr:nvPicPr>
        <xdr:cNvPr id="2" name="Picture 1" descr="Coordinación de Titulación y Servicio Social">
          <a:extLst>
            <a:ext uri="{FF2B5EF4-FFF2-40B4-BE49-F238E27FC236}">
              <a16:creationId xmlns:a16="http://schemas.microsoft.com/office/drawing/2014/main" id="{CEFF1C4D-BF74-47E5-9410-3A27BB69D5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044" y="0"/>
          <a:ext cx="797153" cy="9533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59875</xdr:rowOff>
    </xdr:from>
    <xdr:ext cx="848139" cy="802054"/>
    <xdr:pic>
      <xdr:nvPicPr>
        <xdr:cNvPr id="3" name="Picture 2" descr="Revista .Seguridad |">
          <a:extLst>
            <a:ext uri="{FF2B5EF4-FFF2-40B4-BE49-F238E27FC236}">
              <a16:creationId xmlns:a16="http://schemas.microsoft.com/office/drawing/2014/main" id="{BA4C93B4-1DB2-4A08-B0D6-98916AE99A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75"/>
          <a:ext cx="848139" cy="8020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14</xdr:col>
      <xdr:colOff>196408</xdr:colOff>
      <xdr:row>41</xdr:row>
      <xdr:rowOff>123788</xdr:rowOff>
    </xdr:from>
    <xdr:to>
      <xdr:col>17</xdr:col>
      <xdr:colOff>886691</xdr:colOff>
      <xdr:row>51</xdr:row>
      <xdr:rowOff>59493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FBF125-B053-1759-6653-6E4F18A567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8239" t="30853" r="27589" b="42389"/>
        <a:stretch/>
      </xdr:blipFill>
      <xdr:spPr>
        <a:xfrm>
          <a:off x="10171681" y="7591388"/>
          <a:ext cx="5553227" cy="1903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251460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22157-32CE-619A-4262-D578F95A8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60960</xdr:rowOff>
    </xdr:from>
    <xdr:to>
      <xdr:col>9</xdr:col>
      <xdr:colOff>251460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C29CA-2C87-484E-AAEF-E1C9FD995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44823</xdr:colOff>
      <xdr:row>18</xdr:row>
      <xdr:rowOff>22740</xdr:rowOff>
    </xdr:from>
    <xdr:to>
      <xdr:col>12</xdr:col>
      <xdr:colOff>313765</xdr:colOff>
      <xdr:row>27</xdr:row>
      <xdr:rowOff>35204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F23C2-F205-9CB1-0225-DF21A1383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25" t="23871" r="27654" b="49480"/>
        <a:stretch/>
      </xdr:blipFill>
      <xdr:spPr>
        <a:xfrm>
          <a:off x="10963835" y="3339681"/>
          <a:ext cx="5468471" cy="1626111"/>
        </a:xfrm>
        <a:prstGeom prst="rect">
          <a:avLst/>
        </a:prstGeom>
      </xdr:spPr>
    </xdr:pic>
    <xdr:clientData/>
  </xdr:twoCellAnchor>
  <xdr:twoCellAnchor editAs="oneCell">
    <xdr:from>
      <xdr:col>7</xdr:col>
      <xdr:colOff>62752</xdr:colOff>
      <xdr:row>27</xdr:row>
      <xdr:rowOff>1</xdr:rowOff>
    </xdr:from>
    <xdr:to>
      <xdr:col>12</xdr:col>
      <xdr:colOff>376519</xdr:colOff>
      <xdr:row>43</xdr:row>
      <xdr:rowOff>170330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1013B6-8E0B-31F9-37DF-ADC4081B4A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230" t="26490" r="26179" b="29195"/>
        <a:stretch/>
      </xdr:blipFill>
      <xdr:spPr>
        <a:xfrm>
          <a:off x="10981764" y="4930589"/>
          <a:ext cx="5513296" cy="3083859"/>
        </a:xfrm>
        <a:prstGeom prst="rect">
          <a:avLst/>
        </a:prstGeom>
      </xdr:spPr>
    </xdr:pic>
    <xdr:clientData/>
  </xdr:twoCellAnchor>
  <xdr:twoCellAnchor editAs="oneCell">
    <xdr:from>
      <xdr:col>22</xdr:col>
      <xdr:colOff>166254</xdr:colOff>
      <xdr:row>1</xdr:row>
      <xdr:rowOff>9529</xdr:rowOff>
    </xdr:from>
    <xdr:to>
      <xdr:col>39</xdr:col>
      <xdr:colOff>443345</xdr:colOff>
      <xdr:row>35</xdr:row>
      <xdr:rowOff>91412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051893-C6CA-93BE-090A-617133DED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71818" y="189638"/>
          <a:ext cx="10640291" cy="6298615"/>
        </a:xfrm>
        <a:prstGeom prst="rect">
          <a:avLst/>
        </a:prstGeom>
      </xdr:spPr>
    </xdr:pic>
    <xdr:clientData/>
  </xdr:twoCellAnchor>
  <xdr:twoCellAnchor editAs="oneCell">
    <xdr:from>
      <xdr:col>16</xdr:col>
      <xdr:colOff>483811</xdr:colOff>
      <xdr:row>60</xdr:row>
      <xdr:rowOff>36285</xdr:rowOff>
    </xdr:from>
    <xdr:to>
      <xdr:col>43</xdr:col>
      <xdr:colOff>504990</xdr:colOff>
      <xdr:row>119</xdr:row>
      <xdr:rowOff>157385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48E13A-CAFF-EED9-66DC-0B3CB522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7716" y="8381999"/>
          <a:ext cx="18002842" cy="108381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87085</xdr:colOff>
      <xdr:row>43</xdr:row>
      <xdr:rowOff>108858</xdr:rowOff>
    </xdr:from>
    <xdr:to>
      <xdr:col>5</xdr:col>
      <xdr:colOff>805543</xdr:colOff>
      <xdr:row>61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14F99-D910-304C-B11A-6DAA35AB2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827314</xdr:colOff>
      <xdr:row>43</xdr:row>
      <xdr:rowOff>130628</xdr:rowOff>
    </xdr:from>
    <xdr:to>
      <xdr:col>15</xdr:col>
      <xdr:colOff>76200</xdr:colOff>
      <xdr:row>62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31FB02-9893-4158-BD76-7A418DC16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38420</xdr:rowOff>
    </xdr:from>
    <xdr:to>
      <xdr:col>5</xdr:col>
      <xdr:colOff>108858</xdr:colOff>
      <xdr:row>80</xdr:row>
      <xdr:rowOff>81963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E00BDF-A5EB-4575-BAEF-123907AE1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15</xdr:col>
      <xdr:colOff>119743</xdr:colOff>
      <xdr:row>80</xdr:row>
      <xdr:rowOff>43543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B8049E-FCDD-4889-891E-9F7BA02FD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5</xdr:col>
      <xdr:colOff>718458</xdr:colOff>
      <xdr:row>99</xdr:row>
      <xdr:rowOff>43543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68D4A7-72D8-4663-84AE-745990321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81</xdr:row>
      <xdr:rowOff>0</xdr:rowOff>
    </xdr:from>
    <xdr:to>
      <xdr:col>15</xdr:col>
      <xdr:colOff>119743</xdr:colOff>
      <xdr:row>99</xdr:row>
      <xdr:rowOff>43543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1E103D-EA93-4488-8452-988B03BCD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100</xdr:row>
      <xdr:rowOff>0</xdr:rowOff>
    </xdr:from>
    <xdr:to>
      <xdr:col>5</xdr:col>
      <xdr:colOff>718458</xdr:colOff>
      <xdr:row>118</xdr:row>
      <xdr:rowOff>43543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DE3B06-8967-4202-AF8C-13022B082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101</xdr:row>
      <xdr:rowOff>0</xdr:rowOff>
    </xdr:from>
    <xdr:to>
      <xdr:col>15</xdr:col>
      <xdr:colOff>119743</xdr:colOff>
      <xdr:row>119</xdr:row>
      <xdr:rowOff>43543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B8E3F3-7E1F-4EC2-8EBE-DA597CFC9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119</xdr:row>
      <xdr:rowOff>0</xdr:rowOff>
    </xdr:from>
    <xdr:to>
      <xdr:col>5</xdr:col>
      <xdr:colOff>718458</xdr:colOff>
      <xdr:row>137</xdr:row>
      <xdr:rowOff>43544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CD1E48-3551-49FF-A98A-B81CF7DE0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1946</xdr:colOff>
      <xdr:row>119</xdr:row>
      <xdr:rowOff>71717</xdr:rowOff>
    </xdr:from>
    <xdr:to>
      <xdr:col>16</xdr:col>
      <xdr:colOff>101729</xdr:colOff>
      <xdr:row>137</xdr:row>
      <xdr:rowOff>115260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F66270-C811-4F48-A025-EC55CF20C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126098</xdr:colOff>
      <xdr:row>56</xdr:row>
      <xdr:rowOff>132196</xdr:rowOff>
    </xdr:from>
    <xdr:to>
      <xdr:col>41</xdr:col>
      <xdr:colOff>380636</xdr:colOff>
      <xdr:row>109</xdr:row>
      <xdr:rowOff>141160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E1CB5-EBB2-A07E-7945-D720F2687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35858</xdr:colOff>
      <xdr:row>114</xdr:row>
      <xdr:rowOff>26896</xdr:rowOff>
    </xdr:from>
    <xdr:to>
      <xdr:col>42</xdr:col>
      <xdr:colOff>374071</xdr:colOff>
      <xdr:row>167</xdr:row>
      <xdr:rowOff>35860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BCC3F8-574D-4573-8554-3581E6B85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56</xdr:row>
      <xdr:rowOff>0</xdr:rowOff>
    </xdr:from>
    <xdr:to>
      <xdr:col>36</xdr:col>
      <xdr:colOff>206188</xdr:colOff>
      <xdr:row>81</xdr:row>
      <xdr:rowOff>8965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877691-EB46-461F-B987-79AA0928F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43543</xdr:colOff>
      <xdr:row>29</xdr:row>
      <xdr:rowOff>65315</xdr:rowOff>
    </xdr:from>
    <xdr:to>
      <xdr:col>36</xdr:col>
      <xdr:colOff>249731</xdr:colOff>
      <xdr:row>54</xdr:row>
      <xdr:rowOff>74279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E763A5-CE58-4288-A711-6758556C0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Fajardo Aguilar" id="{1DA553D1-60A1-474B-93CD-80D0736956A4}" userId="2e532ee73502500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3-05-23T11:33:41.63" personId="{1DA553D1-60A1-474B-93CD-80D0736956A4}" id="{58A0B94B-7294-44C8-9A44-4F7D96A74674}">
    <text>Costo de ventas + Gastos de operación</text>
  </threadedComment>
  <threadedComment ref="B16" dT="2023-05-23T11:28:00.52" personId="{1DA553D1-60A1-474B-93CD-80D0736956A4}" id="{6EE2AE4F-47F7-4C07-AC25-C5A90B021BD7}">
    <text xml:space="preserve">ISR de 30% </text>
  </threadedComment>
  <threadedComment ref="B18" dT="2023-05-30T09:31:46.57" personId="{1DA553D1-60A1-474B-93CD-80D0736956A4}" id="{A3B3D2DF-04FB-482D-B125-33DB2F51CE57}">
    <text>Cada año se destina entre el 0.5% y el 1% de los ingresos consolidados a inversiones de mantenimiento (remodelación de tiendas, cambios de equipo de aire acondicionado y refrigeración, reemplazo de equipos de computo e inversiones en TICs)</text>
  </threadedComment>
  <threadedComment ref="P33" dT="2023-05-30T12:37:14.29" personId="{1DA553D1-60A1-474B-93CD-80D0736956A4}" id="{F1A0CCA7-665C-45AD-A609-ECDDFD4FE39A}">
    <text>Tablas de Damodara | Costs of capital
E/(D+E)</text>
  </threadedComment>
  <threadedComment ref="P34" dT="2023-05-30T12:39:26.30" personId="{1DA553D1-60A1-474B-93CD-80D0736956A4}" id="{599576A2-0557-479D-AA02-5C55676A87D0}">
    <text>Tablas de Damodara | Costs of capital
Cost of equity</text>
  </threadedComment>
  <threadedComment ref="L35" dT="2023-05-29T22:12:00.65" personId="{1DA553D1-60A1-474B-93CD-80D0736956A4}" id="{B85BA4E5-EF56-49AA-A2A8-1138C2D172CE}">
    <text>Tablas de Damodaran; Retail (Grocery &amp; Food)
CAPM: 11.2002505862575%
WACC: 9.70123610903662%</text>
  </threadedComment>
  <threadedComment ref="P36" dT="2023-05-30T12:42:22.37" personId="{1DA553D1-60A1-474B-93CD-80D0736956A4}" id="{5A2E83B5-C967-4957-A57B-FAF4D19887CA}">
    <text>Tablas de Damodara | Costs of capital
Cost of capital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3-06-06T09:49:31.43" personId="{1DA553D1-60A1-474B-93CD-80D0736956A4}" id="{B21CE1F7-E9E9-4DB7-B4DC-9E256F5AC074}">
    <text xml:space="preserve">Guía de resultados 2023:
Crecimiento en Estados Unidos se estima del 5.5%.
</text>
  </threadedComment>
  <threadedComment ref="K4" dT="2023-05-30T12:00:34.11" personId="{1DA553D1-60A1-474B-93CD-80D0736956A4}" id="{39AF3090-6B01-40A1-ADF2-FA3B90CBA5AD}">
    <text>Baja la tasa de incremento a la mitad para México y sube para Estados Unidos (sube a la anterior de México).</text>
  </threadedComment>
  <threadedComment ref="C5" dT="2023-05-30T09:39:52.36" personId="{1DA553D1-60A1-474B-93CD-80D0736956A4}" id="{392DDEFE-97E6-4A71-83B5-8C863D16E57E}">
    <text>+20 tiendas en México</text>
  </threadedComment>
  <threadedComment ref="D5" dT="2023-05-30T09:40:09.14" personId="{1DA553D1-60A1-474B-93CD-80D0736956A4}" id="{920204F1-9659-4C8D-BE06-5067A90095AC}">
    <text>+273 tiendas en Mex-EU</text>
  </threadedComment>
  <threadedComment ref="E5" dT="2023-05-30T09:40:21.17" personId="{1DA553D1-60A1-474B-93CD-80D0736956A4}" id="{055A4520-4F44-4D91-8A3C-6BE33C67D9BE}">
    <text>+67 tiendas en Mex-EU
Adquiere totalidad de acciones Arteli por 1,673 millones de pesos</text>
  </threadedComment>
  <threadedComment ref="F5" dT="2023-06-06T09:49:07.96" personId="{1DA553D1-60A1-474B-93CD-80D0736956A4}" id="{C871AFBD-FCB5-4604-B877-FC534EE216B7}">
    <text xml:space="preserve">Guía de resultados 2023:
Crecimiento en México entre 7 y 8%, para Estados Unidos se estima del 5.5%.
</text>
  </threadedComment>
  <threadedComment ref="F17" dT="2023-06-06T10:22:00.70" personId="{1DA553D1-60A1-474B-93CD-80D0736956A4}" id="{78A4C2C8-A6AB-42BD-A522-CADA7CAB9955}">
    <text>El total de costos se basa en la proporción de Utilidad neta / Ingresos. El promedio de los últimos años es de 4.7%.</text>
  </threadedComment>
  <threadedComment ref="G27" dT="2023-05-30T10:26:37.69" personId="{1DA553D1-60A1-474B-93CD-80D0736956A4}" id="{C3640785-75F8-4B7E-AB5E-498AF675CB0D}">
    <text>Al 31 de diciembre de 2022
*Banco de México</text>
  </threadedComment>
  <threadedComment ref="B50" dT="2023-05-30T09:19:33.51" personId="{1DA553D1-60A1-474B-93CD-80D0736956A4}" id="{F434B336-5573-41EB-817E-F93DB546CA6F}">
    <text>Por legislación se determina del 10% en México. Para Estado Unidos es opcional.</text>
  </threadedComment>
  <threadedComment ref="B52" dT="2023-05-30T09:15:24.17" personId="{1DA553D1-60A1-474B-93CD-80D0736956A4}" id="{EC143664-5225-4869-917F-0E0B0EAC8B9E}">
    <text>Se consideran del 30%
En México se paga ISR de 30%, en Estados Unidos se paga un impuesto del 21% + 5% de impuestos estatales (promedio)</text>
  </threadedComment>
  <threadedComment ref="A61" dT="2023-05-29T21:53:02.06" personId="{1DA553D1-60A1-474B-93CD-80D0736956A4}" id="{D4C628C7-9A3D-4366-9370-564E2A3CEA1F}">
    <text>Tablas de Damodaran; Retail (Grocery &amp; Food) | Working capital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F841-E3E3-44CF-B891-4ED8B281F6FA}">
  <dimension ref="A1:Z61"/>
  <sheetViews>
    <sheetView tabSelected="1" zoomScale="85" zoomScaleNormal="85" workbookViewId="0">
      <selection activeCell="A6" sqref="A6"/>
    </sheetView>
  </sheetViews>
  <sheetFormatPr defaultColWidth="11.44140625" defaultRowHeight="13.8" x14ac:dyDescent="0.3"/>
  <cols>
    <col min="1" max="1" width="7.77734375" style="39" customWidth="1"/>
    <col min="2" max="2" width="53.77734375" style="39" bestFit="1" customWidth="1"/>
    <col min="3" max="9" width="23.21875" style="39" hidden="1" customWidth="1"/>
    <col min="10" max="10" width="11.44140625" style="39" hidden="1" customWidth="1"/>
    <col min="11" max="11" width="24.88671875" style="39" customWidth="1"/>
    <col min="12" max="12" width="18" style="39" bestFit="1" customWidth="1"/>
    <col min="13" max="26" width="23.6640625" style="39" customWidth="1"/>
    <col min="27" max="16384" width="11.44140625" style="39"/>
  </cols>
  <sheetData>
    <row r="1" spans="1:26" ht="15.6" x14ac:dyDescent="0.3">
      <c r="A1" s="117"/>
      <c r="B1" s="118"/>
      <c r="C1" s="118"/>
      <c r="D1" s="118"/>
      <c r="E1" s="118"/>
      <c r="F1" s="118"/>
      <c r="G1" s="118"/>
      <c r="H1" s="118"/>
      <c r="I1" s="118"/>
      <c r="J1" s="115"/>
      <c r="K1" s="119" t="s">
        <v>241</v>
      </c>
      <c r="L1" s="118"/>
      <c r="N1" s="115"/>
      <c r="O1" s="115"/>
      <c r="P1" s="115"/>
    </row>
    <row r="2" spans="1:26" ht="14.4" x14ac:dyDescent="0.3">
      <c r="A2" s="120"/>
      <c r="B2" s="115"/>
      <c r="C2" s="115"/>
      <c r="D2" s="115"/>
      <c r="E2" s="115"/>
      <c r="F2" s="115"/>
      <c r="G2" s="115"/>
      <c r="H2" s="115"/>
      <c r="I2" s="115"/>
      <c r="J2" s="115"/>
      <c r="K2" s="121" t="s">
        <v>242</v>
      </c>
      <c r="L2" s="115"/>
      <c r="M2" s="115"/>
      <c r="N2" s="115"/>
      <c r="O2" s="115"/>
      <c r="P2" s="115"/>
    </row>
    <row r="3" spans="1:26" ht="14.4" x14ac:dyDescent="0.3">
      <c r="A3" s="120"/>
      <c r="B3" s="115"/>
      <c r="C3" s="115"/>
      <c r="D3" s="115"/>
      <c r="E3" s="115"/>
      <c r="F3" s="115"/>
      <c r="G3" s="115"/>
      <c r="H3" s="115"/>
      <c r="I3" s="115"/>
      <c r="J3" s="115"/>
      <c r="K3" s="121" t="s">
        <v>244</v>
      </c>
      <c r="L3" s="115"/>
      <c r="M3" s="115"/>
      <c r="N3" s="115"/>
      <c r="O3" s="115"/>
      <c r="P3" s="115"/>
    </row>
    <row r="4" spans="1:26" ht="14.4" x14ac:dyDescent="0.3">
      <c r="A4" s="120"/>
      <c r="B4" s="115"/>
      <c r="C4" s="115"/>
      <c r="D4" s="115"/>
      <c r="E4" s="115"/>
      <c r="F4" s="115"/>
      <c r="G4" s="115"/>
      <c r="H4" s="115"/>
      <c r="I4" s="115"/>
      <c r="J4" s="115"/>
      <c r="K4" s="121" t="s">
        <v>243</v>
      </c>
      <c r="L4" s="115"/>
      <c r="M4" s="115"/>
      <c r="N4" s="115"/>
      <c r="O4" s="115"/>
      <c r="P4" s="115"/>
      <c r="Q4" s="115"/>
      <c r="R4" s="115"/>
    </row>
    <row r="5" spans="1:26" ht="15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4" t="s">
        <v>245</v>
      </c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spans="1:26" ht="15" x14ac:dyDescent="0.25">
      <c r="A6" s="178"/>
      <c r="B6" s="179"/>
      <c r="C6" s="179"/>
      <c r="D6" s="179"/>
      <c r="E6" s="184"/>
      <c r="F6" s="179"/>
      <c r="G6" s="183"/>
      <c r="H6" s="183"/>
      <c r="I6" s="183"/>
      <c r="J6" s="183"/>
      <c r="K6" s="183"/>
      <c r="L6" s="183"/>
      <c r="M6" s="183"/>
      <c r="N6" s="183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spans="1:26" ht="17.399999999999999" x14ac:dyDescent="0.3">
      <c r="B7" s="180" t="s">
        <v>204</v>
      </c>
    </row>
    <row r="8" spans="1:26" x14ac:dyDescent="0.3">
      <c r="B8" s="85" t="s">
        <v>205</v>
      </c>
      <c r="C8" s="86">
        <f t="shared" ref="C8:I8" si="0">D8-1</f>
        <v>-7</v>
      </c>
      <c r="D8" s="86">
        <f t="shared" si="0"/>
        <v>-6</v>
      </c>
      <c r="E8" s="86">
        <f t="shared" si="0"/>
        <v>-5</v>
      </c>
      <c r="F8" s="86">
        <f t="shared" si="0"/>
        <v>-4</v>
      </c>
      <c r="G8" s="86">
        <f t="shared" si="0"/>
        <v>-3</v>
      </c>
      <c r="H8" s="86">
        <f t="shared" si="0"/>
        <v>-2</v>
      </c>
      <c r="I8" s="86">
        <f t="shared" si="0"/>
        <v>-1</v>
      </c>
      <c r="J8" s="86">
        <f>K8-1</f>
        <v>0</v>
      </c>
      <c r="K8" s="87">
        <v>1</v>
      </c>
      <c r="L8" s="87">
        <f>K8+1</f>
        <v>2</v>
      </c>
      <c r="M8" s="87">
        <f t="shared" ref="M8:Y9" si="1">L8+1</f>
        <v>3</v>
      </c>
      <c r="N8" s="87">
        <f t="shared" si="1"/>
        <v>4</v>
      </c>
      <c r="O8" s="87">
        <f t="shared" si="1"/>
        <v>5</v>
      </c>
      <c r="P8" s="87">
        <f t="shared" si="1"/>
        <v>6</v>
      </c>
      <c r="Q8" s="87">
        <f t="shared" si="1"/>
        <v>7</v>
      </c>
      <c r="R8" s="87">
        <f t="shared" si="1"/>
        <v>8</v>
      </c>
      <c r="S8" s="87">
        <f t="shared" si="1"/>
        <v>9</v>
      </c>
      <c r="T8" s="87">
        <f t="shared" si="1"/>
        <v>10</v>
      </c>
      <c r="U8" s="87">
        <f t="shared" si="1"/>
        <v>11</v>
      </c>
      <c r="V8" s="87">
        <f t="shared" si="1"/>
        <v>12</v>
      </c>
      <c r="W8" s="87">
        <f t="shared" si="1"/>
        <v>13</v>
      </c>
      <c r="X8" s="87">
        <f t="shared" si="1"/>
        <v>14</v>
      </c>
      <c r="Y8" s="87">
        <f t="shared" si="1"/>
        <v>15</v>
      </c>
      <c r="Z8" s="87" t="s">
        <v>173</v>
      </c>
    </row>
    <row r="9" spans="1:26" x14ac:dyDescent="0.3">
      <c r="B9" s="82" t="s">
        <v>174</v>
      </c>
      <c r="C9" s="86">
        <f>'Estado de resultados'!C31</f>
        <v>2015</v>
      </c>
      <c r="D9" s="86">
        <f>'Estado de resultados'!D31</f>
        <v>2016</v>
      </c>
      <c r="E9" s="86">
        <f>'Estado de resultados'!E31</f>
        <v>2017</v>
      </c>
      <c r="F9" s="86">
        <f>'Estado de resultados'!F31</f>
        <v>2018</v>
      </c>
      <c r="G9" s="86">
        <f>'Estado de resultados'!G31</f>
        <v>2019</v>
      </c>
      <c r="H9" s="86">
        <f>'Estado de resultados'!H31</f>
        <v>2020</v>
      </c>
      <c r="I9" s="86">
        <f>'Estado de resultados'!I31</f>
        <v>2021</v>
      </c>
      <c r="J9" s="86">
        <f>'Estado de resultados'!J31</f>
        <v>2022</v>
      </c>
      <c r="K9" s="87">
        <v>2023</v>
      </c>
      <c r="L9" s="87">
        <f>K9+1</f>
        <v>2024</v>
      </c>
      <c r="M9" s="87">
        <f t="shared" si="1"/>
        <v>2025</v>
      </c>
      <c r="N9" s="87">
        <f t="shared" si="1"/>
        <v>2026</v>
      </c>
      <c r="O9" s="87">
        <f t="shared" si="1"/>
        <v>2027</v>
      </c>
      <c r="P9" s="87">
        <f t="shared" si="1"/>
        <v>2028</v>
      </c>
      <c r="Q9" s="87">
        <f t="shared" si="1"/>
        <v>2029</v>
      </c>
      <c r="R9" s="87">
        <f t="shared" si="1"/>
        <v>2030</v>
      </c>
      <c r="S9" s="87">
        <f t="shared" si="1"/>
        <v>2031</v>
      </c>
      <c r="T9" s="87">
        <f t="shared" si="1"/>
        <v>2032</v>
      </c>
      <c r="U9" s="87">
        <f t="shared" si="1"/>
        <v>2033</v>
      </c>
      <c r="V9" s="87">
        <f t="shared" si="1"/>
        <v>2034</v>
      </c>
      <c r="W9" s="87">
        <f t="shared" si="1"/>
        <v>2035</v>
      </c>
      <c r="X9" s="87">
        <f t="shared" si="1"/>
        <v>2036</v>
      </c>
      <c r="Y9" s="87">
        <f t="shared" si="1"/>
        <v>2037</v>
      </c>
      <c r="Z9" s="87"/>
    </row>
    <row r="10" spans="1:26" x14ac:dyDescent="0.3">
      <c r="B10" s="83" t="s">
        <v>175</v>
      </c>
      <c r="C10" s="90">
        <f>'Estado de resultados'!C32</f>
        <v>117861.89280000002</v>
      </c>
      <c r="D10" s="90">
        <f>'Estado de resultados'!D32</f>
        <v>128579.51960000001</v>
      </c>
      <c r="E10" s="90">
        <f>'Estado de resultados'!E32</f>
        <v>129124.7116</v>
      </c>
      <c r="F10" s="90">
        <f>'Estado de resultados'!F32</f>
        <v>151524.8829</v>
      </c>
      <c r="G10" s="90">
        <f>'Estado de resultados'!G32</f>
        <v>164664.44029999999</v>
      </c>
      <c r="H10" s="90">
        <f>Información!C9</f>
        <v>180766.84590000001</v>
      </c>
      <c r="I10" s="90">
        <f>Información!D9</f>
        <v>203226.68340000001</v>
      </c>
      <c r="J10" s="90">
        <f>Información!E9</f>
        <v>259326</v>
      </c>
      <c r="K10" s="131">
        <f>Información!F9</f>
        <v>275920.33281692443</v>
      </c>
      <c r="L10" s="131">
        <f>Información!G9</f>
        <v>293612.09769172966</v>
      </c>
      <c r="M10" s="131">
        <f>Información!H9</f>
        <v>312476.73820432287</v>
      </c>
      <c r="N10" s="131">
        <f>Información!I9</f>
        <v>332595.14074852772</v>
      </c>
      <c r="O10" s="131">
        <f>Información!J9</f>
        <v>354054.05308249523</v>
      </c>
      <c r="P10" s="131">
        <f>Información!K9</f>
        <v>375346.72579841828</v>
      </c>
      <c r="Q10" s="131">
        <f>Información!L9</f>
        <v>398048.97268267791</v>
      </c>
      <c r="R10" s="131">
        <f>Información!M9</f>
        <v>422260.46229438868</v>
      </c>
      <c r="S10" s="131">
        <f>Información!N9</f>
        <v>448088.19955494173</v>
      </c>
      <c r="T10" s="131">
        <f>Información!O9</f>
        <v>475647.07852114754</v>
      </c>
      <c r="U10" s="131">
        <f>Información!P9</f>
        <v>505060.47739388532</v>
      </c>
      <c r="V10" s="131">
        <f>Información!Q9</f>
        <v>536460.8990197262</v>
      </c>
      <c r="W10" s="131">
        <f>Información!R9</f>
        <v>569990.66039613902</v>
      </c>
      <c r="X10" s="131">
        <f>Información!S9</f>
        <v>605802.63496385468</v>
      </c>
      <c r="Y10" s="131">
        <f>Información!T9</f>
        <v>644061.0517643115</v>
      </c>
      <c r="Z10" s="89">
        <v>644061.0517643115</v>
      </c>
    </row>
    <row r="11" spans="1:26" x14ac:dyDescent="0.3">
      <c r="B11" s="83" t="s">
        <v>176</v>
      </c>
      <c r="C11" s="90">
        <f>'Estado de resultados'!C33+'Estado de resultados'!C35</f>
        <v>112348.54340000001</v>
      </c>
      <c r="D11" s="90">
        <f>'Estado de resultados'!D33+'Estado de resultados'!D35</f>
        <v>122399.5576</v>
      </c>
      <c r="E11" s="90">
        <f>'Estado de resultados'!E33+'Estado de resultados'!E35</f>
        <v>123091.8928</v>
      </c>
      <c r="F11" s="90">
        <f>'Estado de resultados'!F33+'Estado de resultados'!F35</f>
        <v>144783.82709999999</v>
      </c>
      <c r="G11" s="90">
        <f>'Estado de resultados'!G33+'Estado de resultados'!G35</f>
        <v>157571.2107</v>
      </c>
      <c r="H11" s="90">
        <f>Información!C17</f>
        <v>172199.7378</v>
      </c>
      <c r="I11" s="90">
        <f>Información!D17</f>
        <v>193794.58980000002</v>
      </c>
      <c r="J11" s="90">
        <f>Información!E17</f>
        <v>245580</v>
      </c>
      <c r="K11" s="131">
        <f>Información!F17</f>
        <v>262954.19076628936</v>
      </c>
      <c r="L11" s="131">
        <f>Información!G17</f>
        <v>279814.57821359136</v>
      </c>
      <c r="M11" s="131">
        <f>Información!H17</f>
        <v>297792.72512811131</v>
      </c>
      <c r="N11" s="131">
        <f>Información!I17</f>
        <v>316965.7168627652</v>
      </c>
      <c r="O11" s="131">
        <f>Información!J17</f>
        <v>337416.22469557199</v>
      </c>
      <c r="P11" s="131">
        <f>Información!K17</f>
        <v>357708.30489896168</v>
      </c>
      <c r="Q11" s="131">
        <f>Información!L17</f>
        <v>379343.72008232883</v>
      </c>
      <c r="R11" s="131">
        <f>Información!M17</f>
        <v>402417.45514598599</v>
      </c>
      <c r="S11" s="131">
        <f>Información!N17</f>
        <v>427031.48659969296</v>
      </c>
      <c r="T11" s="131">
        <f>Información!O17</f>
        <v>453295.309359696</v>
      </c>
      <c r="U11" s="131">
        <f>Información!P17</f>
        <v>481326.50379652891</v>
      </c>
      <c r="V11" s="131">
        <f>Información!Q17</f>
        <v>511251.34613796585</v>
      </c>
      <c r="W11" s="131">
        <f>Información!R17</f>
        <v>543205.46557276463</v>
      </c>
      <c r="X11" s="131">
        <f>Información!S17</f>
        <v>577334.55166097544</v>
      </c>
      <c r="Y11" s="131">
        <f>Información!T17</f>
        <v>613795.11593710864</v>
      </c>
      <c r="Z11" s="89">
        <v>613795.11593710864</v>
      </c>
    </row>
    <row r="12" spans="1:26" x14ac:dyDescent="0.3">
      <c r="B12" s="83" t="s">
        <v>177</v>
      </c>
      <c r="C12" s="90">
        <f t="shared" ref="C12:Y12" si="2">C10-C11</f>
        <v>5513.3494000000064</v>
      </c>
      <c r="D12" s="90">
        <f t="shared" si="2"/>
        <v>6179.9620000000141</v>
      </c>
      <c r="E12" s="90">
        <f t="shared" si="2"/>
        <v>6032.8187999999936</v>
      </c>
      <c r="F12" s="90">
        <f t="shared" si="2"/>
        <v>6741.0558000000019</v>
      </c>
      <c r="G12" s="90">
        <f t="shared" si="2"/>
        <v>7093.2295999999915</v>
      </c>
      <c r="H12" s="90">
        <f t="shared" si="2"/>
        <v>8567.1081000000122</v>
      </c>
      <c r="I12" s="90">
        <f t="shared" si="2"/>
        <v>9432.0935999999929</v>
      </c>
      <c r="J12" s="90">
        <f t="shared" si="2"/>
        <v>13746</v>
      </c>
      <c r="K12" s="132">
        <f t="shared" si="2"/>
        <v>12966.14205063507</v>
      </c>
      <c r="L12" s="132">
        <f t="shared" si="2"/>
        <v>13797.519478138303</v>
      </c>
      <c r="M12" s="132">
        <f t="shared" si="2"/>
        <v>14684.013076211559</v>
      </c>
      <c r="N12" s="132">
        <f t="shared" si="2"/>
        <v>15629.423885762517</v>
      </c>
      <c r="O12" s="132">
        <f t="shared" si="2"/>
        <v>16637.82838692324</v>
      </c>
      <c r="P12" s="132">
        <f t="shared" si="2"/>
        <v>17638.4208994566</v>
      </c>
      <c r="Q12" s="132">
        <f t="shared" si="2"/>
        <v>18705.252600349078</v>
      </c>
      <c r="R12" s="132">
        <f t="shared" si="2"/>
        <v>19843.007148402685</v>
      </c>
      <c r="S12" s="132">
        <f t="shared" si="2"/>
        <v>21056.712955248775</v>
      </c>
      <c r="T12" s="132">
        <f t="shared" si="2"/>
        <v>22351.76916145155</v>
      </c>
      <c r="U12" s="132">
        <f t="shared" si="2"/>
        <v>23733.973597356409</v>
      </c>
      <c r="V12" s="132">
        <f t="shared" si="2"/>
        <v>25209.552881760348</v>
      </c>
      <c r="W12" s="132">
        <f t="shared" si="2"/>
        <v>26785.19482337439</v>
      </c>
      <c r="X12" s="132">
        <f t="shared" si="2"/>
        <v>28468.08330287924</v>
      </c>
      <c r="Y12" s="132">
        <f t="shared" si="2"/>
        <v>30265.935827202862</v>
      </c>
      <c r="Z12" s="89">
        <v>30265.935827202862</v>
      </c>
    </row>
    <row r="13" spans="1:26" hidden="1" x14ac:dyDescent="0.3">
      <c r="B13" s="83"/>
      <c r="C13" s="185">
        <f>C12/C10</f>
        <v>4.6778049028583103E-2</v>
      </c>
      <c r="D13" s="185">
        <f t="shared" ref="D13:J13" si="3">D12/D10</f>
        <v>4.8063346474036858E-2</v>
      </c>
      <c r="E13" s="185">
        <f t="shared" si="3"/>
        <v>4.6720869500861628E-2</v>
      </c>
      <c r="F13" s="185">
        <f t="shared" si="3"/>
        <v>4.4488110935870601E-2</v>
      </c>
      <c r="G13" s="185">
        <f t="shared" si="3"/>
        <v>4.3076875535950139E-2</v>
      </c>
      <c r="H13" s="185">
        <f t="shared" si="3"/>
        <v>4.7393138146246828E-2</v>
      </c>
      <c r="I13" s="185">
        <f t="shared" si="3"/>
        <v>4.6411688869789393E-2</v>
      </c>
      <c r="J13" s="185">
        <f t="shared" si="3"/>
        <v>5.3006640290599476E-2</v>
      </c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89"/>
    </row>
    <row r="14" spans="1:26" x14ac:dyDescent="0.3">
      <c r="B14" s="83" t="s">
        <v>178</v>
      </c>
      <c r="C14" s="90">
        <f>'Flujo de efectivo'!C10</f>
        <v>1982.3915394000001</v>
      </c>
      <c r="D14" s="90">
        <f>'Flujo de efectivo'!D10</f>
        <v>2218.6165248000002</v>
      </c>
      <c r="E14" s="90">
        <f>'Flujo de efectivo'!E10</f>
        <v>2234.3218151999999</v>
      </c>
      <c r="F14" s="90">
        <f>'Flujo de efectivo'!F10</f>
        <v>3986.5313772000004</v>
      </c>
      <c r="G14" s="90">
        <f>'Flujo de efectivo'!G10</f>
        <v>4516.0325981000005</v>
      </c>
      <c r="H14" s="90">
        <f>'Flujo de efectivo'!H10</f>
        <v>4694.2438878000003</v>
      </c>
      <c r="I14" s="90">
        <f>'Flujo de efectivo'!I10</f>
        <v>5822.5366116000005</v>
      </c>
      <c r="J14" s="90">
        <f>'Flujo de efectivo'!J10</f>
        <v>7680.74</v>
      </c>
      <c r="K14" s="132">
        <f>AVERAGE($C$14:$J$14)</f>
        <v>4141.9267942625002</v>
      </c>
      <c r="L14" s="132">
        <f t="shared" ref="L14:Y14" si="4">AVERAGE($C$14:$J$14)</f>
        <v>4141.9267942625002</v>
      </c>
      <c r="M14" s="132">
        <f t="shared" si="4"/>
        <v>4141.9267942625002</v>
      </c>
      <c r="N14" s="132">
        <f t="shared" si="4"/>
        <v>4141.9267942625002</v>
      </c>
      <c r="O14" s="132">
        <f t="shared" si="4"/>
        <v>4141.9267942625002</v>
      </c>
      <c r="P14" s="132">
        <f t="shared" si="4"/>
        <v>4141.9267942625002</v>
      </c>
      <c r="Q14" s="132">
        <f t="shared" si="4"/>
        <v>4141.9267942625002</v>
      </c>
      <c r="R14" s="132">
        <f t="shared" si="4"/>
        <v>4141.9267942625002</v>
      </c>
      <c r="S14" s="132">
        <f t="shared" si="4"/>
        <v>4141.9267942625002</v>
      </c>
      <c r="T14" s="132">
        <f t="shared" si="4"/>
        <v>4141.9267942625002</v>
      </c>
      <c r="U14" s="132">
        <f t="shared" si="4"/>
        <v>4141.9267942625002</v>
      </c>
      <c r="V14" s="132">
        <f t="shared" si="4"/>
        <v>4141.9267942625002</v>
      </c>
      <c r="W14" s="132">
        <f t="shared" si="4"/>
        <v>4141.9267942625002</v>
      </c>
      <c r="X14" s="132">
        <f t="shared" si="4"/>
        <v>4141.9267942625002</v>
      </c>
      <c r="Y14" s="132">
        <f t="shared" si="4"/>
        <v>4141.9267942625002</v>
      </c>
      <c r="Z14" s="89">
        <v>4141.9267942625002</v>
      </c>
    </row>
    <row r="15" spans="1:26" x14ac:dyDescent="0.3">
      <c r="B15" s="83" t="s">
        <v>179</v>
      </c>
      <c r="C15" s="90">
        <f>'Flujo de efectivo'!C8</f>
        <v>3955.0931312000002</v>
      </c>
      <c r="D15" s="90">
        <f>'Flujo de efectivo'!D8</f>
        <v>4462.920196</v>
      </c>
      <c r="E15" s="90">
        <f>'Flujo de efectivo'!E8</f>
        <v>4419.8977992</v>
      </c>
      <c r="F15" s="90">
        <f>'Flujo de efectivo'!F8</f>
        <v>3179.5269659999999</v>
      </c>
      <c r="G15" s="90">
        <f>'Flujo de efectivo'!G8</f>
        <v>3135.879152</v>
      </c>
      <c r="H15" s="90">
        <f>'Flujo de efectivo'!H8</f>
        <v>4630.8475349999999</v>
      </c>
      <c r="I15" s="90">
        <f>'Flujo de efectivo'!I8</f>
        <v>5336.5778549999995</v>
      </c>
      <c r="J15" s="90">
        <f>'Flujo de efectivo'!J8</f>
        <v>8722.1509999999998</v>
      </c>
      <c r="K15" s="132">
        <f t="shared" ref="K15:Y15" si="5">K12-K14</f>
        <v>8824.2152563725685</v>
      </c>
      <c r="L15" s="132">
        <f t="shared" si="5"/>
        <v>9655.5926838758023</v>
      </c>
      <c r="M15" s="132">
        <f t="shared" si="5"/>
        <v>10542.086281949058</v>
      </c>
      <c r="N15" s="132">
        <f t="shared" si="5"/>
        <v>11487.497091500016</v>
      </c>
      <c r="O15" s="132">
        <f t="shared" si="5"/>
        <v>12495.901592660739</v>
      </c>
      <c r="P15" s="132">
        <f t="shared" si="5"/>
        <v>13496.494105194099</v>
      </c>
      <c r="Q15" s="132">
        <f t="shared" si="5"/>
        <v>14563.325806086577</v>
      </c>
      <c r="R15" s="132">
        <f t="shared" si="5"/>
        <v>15701.080354140184</v>
      </c>
      <c r="S15" s="132">
        <f t="shared" si="5"/>
        <v>16914.786160986274</v>
      </c>
      <c r="T15" s="132">
        <f t="shared" si="5"/>
        <v>18209.842367189049</v>
      </c>
      <c r="U15" s="132">
        <f t="shared" si="5"/>
        <v>19592.046803093908</v>
      </c>
      <c r="V15" s="132">
        <f t="shared" si="5"/>
        <v>21067.626087497847</v>
      </c>
      <c r="W15" s="132">
        <f t="shared" si="5"/>
        <v>22643.268029111889</v>
      </c>
      <c r="X15" s="132">
        <f t="shared" si="5"/>
        <v>24326.156508616739</v>
      </c>
      <c r="Y15" s="132">
        <f t="shared" si="5"/>
        <v>26124.009032940361</v>
      </c>
      <c r="Z15" s="89">
        <v>26124.009032940361</v>
      </c>
    </row>
    <row r="16" spans="1:26" x14ac:dyDescent="0.3">
      <c r="B16" s="83" t="s">
        <v>180</v>
      </c>
      <c r="C16" s="90">
        <f>'Estado de resultados'!C44</f>
        <v>1273.8100000000002</v>
      </c>
      <c r="D16" s="90">
        <f>'Estado de resultados'!D44</f>
        <v>1543.9012000000002</v>
      </c>
      <c r="E16" s="90">
        <f>'Estado de resultados'!E44</f>
        <v>1529.0239999999999</v>
      </c>
      <c r="F16" s="90">
        <f>'Estado de resultados'!F44</f>
        <v>1107.4032</v>
      </c>
      <c r="G16" s="90">
        <f>'Estado de resultados'!G44</f>
        <v>1180.5088000000001</v>
      </c>
      <c r="H16" s="90">
        <f>'Estado de resultados'!H44</f>
        <v>1325.9060999999999</v>
      </c>
      <c r="I16" s="90">
        <f>'Estado de resultados'!I44</f>
        <v>1583.8758</v>
      </c>
      <c r="J16" s="90">
        <f>'Estado de resultados'!J44</f>
        <v>2546</v>
      </c>
      <c r="K16" s="132">
        <f>Información!D53</f>
        <v>3268.0261025490272</v>
      </c>
      <c r="L16" s="132">
        <f>Información!E53</f>
        <v>3597.5106158591439</v>
      </c>
      <c r="M16" s="132">
        <f>Información!F53</f>
        <v>3927.1667322633484</v>
      </c>
      <c r="N16" s="132">
        <f>Información!G53</f>
        <v>4278.7362481415348</v>
      </c>
      <c r="O16" s="132">
        <f>Información!H53</f>
        <v>4653.7357243192946</v>
      </c>
      <c r="P16" s="132">
        <f>Información!I53</f>
        <v>5023.7205942978171</v>
      </c>
      <c r="Q16" s="132">
        <f>Información!J53</f>
        <v>5420.4354992788076</v>
      </c>
      <c r="R16" s="132">
        <f>Información!K53</f>
        <v>5843.5323674734764</v>
      </c>
      <c r="S16" s="132">
        <f>Información!L53</f>
        <v>6294.8820537703041</v>
      </c>
      <c r="T16" s="132">
        <f>Información!M53</f>
        <v>6776.4933620460315</v>
      </c>
      <c r="U16" s="132">
        <f>Información!N53</f>
        <v>7290.5234502218918</v>
      </c>
      <c r="V16" s="132">
        <f>Información!O53</f>
        <v>7839.2890309063214</v>
      </c>
      <c r="W16" s="132">
        <f>Información!P53</f>
        <v>8425.2784290198197</v>
      </c>
      <c r="X16" s="132">
        <f>Información!Q53</f>
        <v>9051.1645625733399</v>
      </c>
      <c r="Y16" s="132">
        <f>Información!R53</f>
        <v>9719.8189179176425</v>
      </c>
      <c r="Z16" s="90">
        <v>9719.8189179176425</v>
      </c>
    </row>
    <row r="17" spans="2:26" x14ac:dyDescent="0.3">
      <c r="B17" s="83" t="s">
        <v>181</v>
      </c>
      <c r="C17" s="90">
        <f>'Estado de resultados'!C45</f>
        <v>2682.4940000000001</v>
      </c>
      <c r="D17" s="90">
        <f>'Estado de resultados'!D45</f>
        <v>2919.3240000000001</v>
      </c>
      <c r="E17" s="90">
        <f>'Estado de resultados'!E45</f>
        <v>2890.1284000000001</v>
      </c>
      <c r="F17" s="90">
        <f>'Estado de resultados'!F45</f>
        <v>2071.1574000000001</v>
      </c>
      <c r="G17" s="90">
        <f>'Estado de resultados'!G45</f>
        <v>1955.2176999999999</v>
      </c>
      <c r="H17" s="90">
        <f>'Estado de resultados'!H45</f>
        <v>3304.2618000000002</v>
      </c>
      <c r="I17" s="90">
        <f>'Estado de resultados'!I45</f>
        <v>3752.136</v>
      </c>
      <c r="J17" s="90">
        <f>'Estado de resultados'!J45</f>
        <v>6176</v>
      </c>
      <c r="K17" s="132">
        <f>K15-K16</f>
        <v>5556.1891538235413</v>
      </c>
      <c r="L17" s="132">
        <f t="shared" ref="L17:Y17" si="6">L15-L16</f>
        <v>6058.082068016658</v>
      </c>
      <c r="M17" s="132">
        <f t="shared" si="6"/>
        <v>6614.9195496857092</v>
      </c>
      <c r="N17" s="132">
        <f t="shared" si="6"/>
        <v>7208.760843358481</v>
      </c>
      <c r="O17" s="132">
        <f t="shared" si="6"/>
        <v>7842.1658683414444</v>
      </c>
      <c r="P17" s="132">
        <f t="shared" si="6"/>
        <v>8472.7735108962806</v>
      </c>
      <c r="Q17" s="132">
        <f t="shared" si="6"/>
        <v>9142.8903068077707</v>
      </c>
      <c r="R17" s="132">
        <f t="shared" si="6"/>
        <v>9857.5479866667083</v>
      </c>
      <c r="S17" s="132">
        <f t="shared" si="6"/>
        <v>10619.904107215971</v>
      </c>
      <c r="T17" s="132">
        <f t="shared" si="6"/>
        <v>11433.349005143016</v>
      </c>
      <c r="U17" s="132">
        <f t="shared" si="6"/>
        <v>12301.523352872016</v>
      </c>
      <c r="V17" s="132">
        <f t="shared" si="6"/>
        <v>13228.337056591525</v>
      </c>
      <c r="W17" s="132">
        <f t="shared" si="6"/>
        <v>14217.989600092069</v>
      </c>
      <c r="X17" s="132">
        <f t="shared" si="6"/>
        <v>15274.991946043399</v>
      </c>
      <c r="Y17" s="132">
        <f t="shared" si="6"/>
        <v>16404.19011502272</v>
      </c>
      <c r="Z17" s="89">
        <v>16404.19011502272</v>
      </c>
    </row>
    <row r="18" spans="2:26" x14ac:dyDescent="0.3">
      <c r="B18" s="83" t="s">
        <v>182</v>
      </c>
      <c r="C18" s="90">
        <f>'Flujo de efectivo'!C40</f>
        <v>-4098.333815</v>
      </c>
      <c r="D18" s="90">
        <f>'Flujo de efectivo'!D40</f>
        <v>-4877.1519380000009</v>
      </c>
      <c r="E18" s="90">
        <f>'Flujo de efectivo'!E40</f>
        <v>-4223.2175307999987</v>
      </c>
      <c r="F18" s="90">
        <f>'Flujo de efectivo'!F40</f>
        <v>-11544.303566699999</v>
      </c>
      <c r="G18" s="90">
        <f>'Flujo de efectivo'!G40</f>
        <v>-3618.9006103999996</v>
      </c>
      <c r="H18" s="90">
        <f>'Flujo de efectivo'!H40</f>
        <v>-3133.7772138</v>
      </c>
      <c r="I18" s="90">
        <f>'Flujo de efectivo'!I40</f>
        <v>-16843.2565608</v>
      </c>
      <c r="J18" s="90">
        <f>'Flujo de efectivo'!J40</f>
        <v>-6480.8440000000001</v>
      </c>
      <c r="K18" s="132">
        <f t="shared" ref="K18:Y18" si="7">K10*1%</f>
        <v>2759.2033281692443</v>
      </c>
      <c r="L18" s="132">
        <f t="shared" si="7"/>
        <v>2936.1209769172965</v>
      </c>
      <c r="M18" s="132">
        <f t="shared" si="7"/>
        <v>3124.7673820432287</v>
      </c>
      <c r="N18" s="132">
        <f t="shared" si="7"/>
        <v>3325.9514074852773</v>
      </c>
      <c r="O18" s="132">
        <f t="shared" si="7"/>
        <v>3540.5405308249524</v>
      </c>
      <c r="P18" s="132">
        <f t="shared" si="7"/>
        <v>3753.4672579841827</v>
      </c>
      <c r="Q18" s="132">
        <f t="shared" si="7"/>
        <v>3980.4897268267791</v>
      </c>
      <c r="R18" s="132">
        <f t="shared" si="7"/>
        <v>4222.6046229438871</v>
      </c>
      <c r="S18" s="132">
        <f t="shared" si="7"/>
        <v>4480.8819955494173</v>
      </c>
      <c r="T18" s="132">
        <f t="shared" si="7"/>
        <v>4756.4707852114752</v>
      </c>
      <c r="U18" s="132">
        <f t="shared" si="7"/>
        <v>5050.6047739388532</v>
      </c>
      <c r="V18" s="132">
        <f t="shared" si="7"/>
        <v>5364.6089901972618</v>
      </c>
      <c r="W18" s="132">
        <f t="shared" si="7"/>
        <v>5699.9066039613899</v>
      </c>
      <c r="X18" s="132">
        <f t="shared" si="7"/>
        <v>6058.0263496385469</v>
      </c>
      <c r="Y18" s="132">
        <f t="shared" si="7"/>
        <v>6440.6105176431156</v>
      </c>
      <c r="Z18" s="89">
        <v>6440.6105176431156</v>
      </c>
    </row>
    <row r="19" spans="2:26" x14ac:dyDescent="0.3">
      <c r="B19" s="83" t="s">
        <v>178</v>
      </c>
      <c r="C19" s="90">
        <f t="shared" ref="C19:I19" si="8">C14</f>
        <v>1982.3915394000001</v>
      </c>
      <c r="D19" s="90">
        <f t="shared" si="8"/>
        <v>2218.6165248000002</v>
      </c>
      <c r="E19" s="90">
        <f t="shared" si="8"/>
        <v>2234.3218151999999</v>
      </c>
      <c r="F19" s="90">
        <f t="shared" si="8"/>
        <v>3986.5313772000004</v>
      </c>
      <c r="G19" s="90">
        <f t="shared" si="8"/>
        <v>4516.0325981000005</v>
      </c>
      <c r="H19" s="90">
        <f t="shared" si="8"/>
        <v>4694.2438878000003</v>
      </c>
      <c r="I19" s="90">
        <f t="shared" si="8"/>
        <v>5822.5366116000005</v>
      </c>
      <c r="J19" s="90">
        <f t="shared" ref="J19" si="9">J14</f>
        <v>7680.74</v>
      </c>
      <c r="K19" s="132">
        <f>K14</f>
        <v>4141.9267942625002</v>
      </c>
      <c r="L19" s="132">
        <f t="shared" ref="L19:Y19" si="10">L14</f>
        <v>4141.9267942625002</v>
      </c>
      <c r="M19" s="132">
        <f t="shared" si="10"/>
        <v>4141.9267942625002</v>
      </c>
      <c r="N19" s="132">
        <f t="shared" si="10"/>
        <v>4141.9267942625002</v>
      </c>
      <c r="O19" s="132">
        <f t="shared" si="10"/>
        <v>4141.9267942625002</v>
      </c>
      <c r="P19" s="132">
        <f t="shared" si="10"/>
        <v>4141.9267942625002</v>
      </c>
      <c r="Q19" s="132">
        <f t="shared" si="10"/>
        <v>4141.9267942625002</v>
      </c>
      <c r="R19" s="132">
        <f t="shared" si="10"/>
        <v>4141.9267942625002</v>
      </c>
      <c r="S19" s="132">
        <f t="shared" si="10"/>
        <v>4141.9267942625002</v>
      </c>
      <c r="T19" s="132">
        <f t="shared" si="10"/>
        <v>4141.9267942625002</v>
      </c>
      <c r="U19" s="132">
        <f t="shared" si="10"/>
        <v>4141.9267942625002</v>
      </c>
      <c r="V19" s="132">
        <f t="shared" si="10"/>
        <v>4141.9267942625002</v>
      </c>
      <c r="W19" s="132">
        <f t="shared" si="10"/>
        <v>4141.9267942625002</v>
      </c>
      <c r="X19" s="132">
        <f t="shared" si="10"/>
        <v>4141.9267942625002</v>
      </c>
      <c r="Y19" s="132">
        <f t="shared" si="10"/>
        <v>4141.9267942625002</v>
      </c>
      <c r="Z19" s="89">
        <v>4141.9267942625002</v>
      </c>
    </row>
    <row r="20" spans="2:26" x14ac:dyDescent="0.3">
      <c r="B20" s="83" t="s">
        <v>183</v>
      </c>
      <c r="C20" s="90">
        <f>'Balance general'!C68-'Balance general'!C90</f>
        <v>-9354.2612000000045</v>
      </c>
      <c r="D20" s="90">
        <f>'Balance general'!D68-'Balance general'!D90</f>
        <v>-8466.0395999999964</v>
      </c>
      <c r="E20" s="90">
        <f>'Balance general'!E68-'Balance general'!E90</f>
        <v>-6406.8836000000047</v>
      </c>
      <c r="F20" s="90">
        <f>'Balance general'!F68-'Balance general'!F90</f>
        <v>-7433.1828000000023</v>
      </c>
      <c r="G20" s="90">
        <f>'Balance general'!G68-'Balance general'!G90</f>
        <v>-8103.2769999999946</v>
      </c>
      <c r="H20" s="90">
        <f>'Balance general'!H68-'Balance general'!H90</f>
        <v>-7994.9790000000066</v>
      </c>
      <c r="I20" s="90">
        <f>'Balance general'!I68-'Balance general'!I90</f>
        <v>-6800.2073999999993</v>
      </c>
      <c r="J20" s="90">
        <f>'Balance general'!J68-'Balance general'!J90</f>
        <v>-5446</v>
      </c>
      <c r="K20" s="132">
        <f>Información!D62</f>
        <v>-1351.6940469119982</v>
      </c>
      <c r="L20" s="132">
        <f>Información!E62</f>
        <v>-1441.0855515836993</v>
      </c>
      <c r="M20" s="132">
        <f>Información!F62</f>
        <v>-1536.6223251832489</v>
      </c>
      <c r="N20" s="132">
        <f>Información!G62</f>
        <v>-1638.7477129930776</v>
      </c>
      <c r="O20" s="132">
        <f>Información!H62</f>
        <v>-1747.9391533865964</v>
      </c>
      <c r="P20" s="132">
        <f>Información!I62</f>
        <v>-1734.3980785780695</v>
      </c>
      <c r="Q20" s="132">
        <f>Información!J62</f>
        <v>-1849.2151690294668</v>
      </c>
      <c r="R20" s="132">
        <f>Información!K62</f>
        <v>-1972.1507779838903</v>
      </c>
      <c r="S20" s="132">
        <f>Información!L62</f>
        <v>-2103.802490009788</v>
      </c>
      <c r="T20" s="132">
        <f>Información!M62</f>
        <v>-2244.8129159008095</v>
      </c>
      <c r="U20" s="132">
        <f>Información!N62</f>
        <v>-2395.8731329757939</v>
      </c>
      <c r="V20" s="132">
        <f>Información!O62</f>
        <v>-2557.7263907162196</v>
      </c>
      <c r="W20" s="132">
        <f>Información!P62</f>
        <v>-2731.1721023609643</v>
      </c>
      <c r="X20" s="132">
        <f>Información!Q62</f>
        <v>-2917.0701446927269</v>
      </c>
      <c r="Y20" s="132">
        <f>Información!R62</f>
        <v>-3116.3454899924109</v>
      </c>
      <c r="Z20" s="89">
        <v>-3116.3454899924109</v>
      </c>
    </row>
    <row r="21" spans="2:26" x14ac:dyDescent="0.3">
      <c r="B21" s="83" t="s">
        <v>184</v>
      </c>
      <c r="C21" s="90">
        <f t="shared" ref="C21:I21" si="11">C17-C18+C19+C20</f>
        <v>-591.04184560000431</v>
      </c>
      <c r="D21" s="90">
        <f t="shared" si="11"/>
        <v>1549.0528628000047</v>
      </c>
      <c r="E21" s="90">
        <f t="shared" si="11"/>
        <v>2940.7841459999945</v>
      </c>
      <c r="F21" s="90">
        <f t="shared" si="11"/>
        <v>10168.809543899995</v>
      </c>
      <c r="G21" s="90">
        <f t="shared" si="11"/>
        <v>1986.8739085000052</v>
      </c>
      <c r="H21" s="90">
        <f t="shared" si="11"/>
        <v>3137.303901599993</v>
      </c>
      <c r="I21" s="90">
        <f t="shared" si="11"/>
        <v>19617.7217724</v>
      </c>
      <c r="J21" s="90">
        <f t="shared" ref="J21" si="12">J17-J18+J19+J20</f>
        <v>14891.584000000003</v>
      </c>
      <c r="K21" s="132">
        <f>K17-K18+K19+K20</f>
        <v>5587.2185730047986</v>
      </c>
      <c r="L21" s="132">
        <f t="shared" ref="L21:Y21" si="13">L17-L18+L19+L20</f>
        <v>5822.8023337781624</v>
      </c>
      <c r="M21" s="132">
        <f t="shared" si="13"/>
        <v>6095.4566367217321</v>
      </c>
      <c r="N21" s="132">
        <f t="shared" si="13"/>
        <v>6385.9885171426267</v>
      </c>
      <c r="O21" s="132">
        <f t="shared" si="13"/>
        <v>6695.6129783923971</v>
      </c>
      <c r="P21" s="132">
        <f t="shared" si="13"/>
        <v>7126.8349685965295</v>
      </c>
      <c r="Q21" s="132">
        <f t="shared" si="13"/>
        <v>7455.1122052140236</v>
      </c>
      <c r="R21" s="132">
        <f t="shared" si="13"/>
        <v>7804.719380001432</v>
      </c>
      <c r="S21" s="132">
        <f t="shared" si="13"/>
        <v>8177.1464159192656</v>
      </c>
      <c r="T21" s="132">
        <f t="shared" si="13"/>
        <v>8573.9920982932308</v>
      </c>
      <c r="U21" s="132">
        <f t="shared" si="13"/>
        <v>8996.9722402198695</v>
      </c>
      <c r="V21" s="132">
        <f t="shared" si="13"/>
        <v>9447.9284699405434</v>
      </c>
      <c r="W21" s="132">
        <f t="shared" si="13"/>
        <v>9928.8376880322139</v>
      </c>
      <c r="X21" s="132">
        <f t="shared" si="13"/>
        <v>10441.822245974625</v>
      </c>
      <c r="Y21" s="132">
        <f t="shared" si="13"/>
        <v>10989.160901649695</v>
      </c>
      <c r="Z21" s="90">
        <v>10989.160901649695</v>
      </c>
    </row>
    <row r="22" spans="2:26" x14ac:dyDescent="0.3">
      <c r="B22" s="83" t="s">
        <v>185</v>
      </c>
      <c r="C22" s="90"/>
      <c r="D22" s="90"/>
      <c r="E22" s="90"/>
      <c r="F22" s="90"/>
      <c r="G22" s="90"/>
      <c r="H22" s="90"/>
      <c r="I22" s="90"/>
      <c r="J22" s="132">
        <f>Información!C44</f>
        <v>12652.687317331871</v>
      </c>
      <c r="K22" s="132">
        <f>Información!D44</f>
        <v>9467.3282734297572</v>
      </c>
      <c r="L22" s="132">
        <f>Información!E44</f>
        <v>6060.204841710949</v>
      </c>
      <c r="M22" s="132">
        <f>Información!F44</f>
        <v>2415.871864006916</v>
      </c>
      <c r="N22" s="132">
        <f>AVERAGE($J$22:$M$22)</f>
        <v>7649.0230741198729</v>
      </c>
      <c r="O22" s="132">
        <f t="shared" ref="O22:Y22" si="14">AVERAGE($J$22:$M$22)</f>
        <v>7649.0230741198729</v>
      </c>
      <c r="P22" s="132">
        <f t="shared" si="14"/>
        <v>7649.0230741198729</v>
      </c>
      <c r="Q22" s="132">
        <f t="shared" si="14"/>
        <v>7649.0230741198729</v>
      </c>
      <c r="R22" s="132">
        <f t="shared" si="14"/>
        <v>7649.0230741198729</v>
      </c>
      <c r="S22" s="132">
        <f t="shared" si="14"/>
        <v>7649.0230741198729</v>
      </c>
      <c r="T22" s="132">
        <f t="shared" si="14"/>
        <v>7649.0230741198729</v>
      </c>
      <c r="U22" s="132">
        <f t="shared" si="14"/>
        <v>7649.0230741198729</v>
      </c>
      <c r="V22" s="132">
        <f t="shared" si="14"/>
        <v>7649.0230741198729</v>
      </c>
      <c r="W22" s="132">
        <f t="shared" si="14"/>
        <v>7649.0230741198729</v>
      </c>
      <c r="X22" s="132">
        <f t="shared" si="14"/>
        <v>7649.0230741198729</v>
      </c>
      <c r="Y22" s="132">
        <f t="shared" si="14"/>
        <v>7649.0230741198729</v>
      </c>
      <c r="Z22" s="91">
        <v>7649.0230741198729</v>
      </c>
    </row>
    <row r="23" spans="2:26" x14ac:dyDescent="0.3">
      <c r="B23" s="83" t="s">
        <v>186</v>
      </c>
      <c r="C23" s="90"/>
      <c r="D23" s="90"/>
      <c r="E23" s="90"/>
      <c r="F23" s="90"/>
      <c r="G23" s="90"/>
      <c r="H23" s="88"/>
      <c r="I23" s="88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157">
        <f>Z21/L35</f>
        <v>111193.76131427605</v>
      </c>
      <c r="Z23" s="89"/>
    </row>
    <row r="24" spans="2:26" x14ac:dyDescent="0.3"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6" spans="2:26" x14ac:dyDescent="0.3">
      <c r="B26" s="186" t="s">
        <v>187</v>
      </c>
      <c r="C26" s="89">
        <f t="shared" ref="C26:J26" si="15">C17-C18+C19+C20</f>
        <v>-591.04184560000431</v>
      </c>
      <c r="D26" s="89">
        <f t="shared" si="15"/>
        <v>1549.0528628000047</v>
      </c>
      <c r="E26" s="89">
        <f t="shared" si="15"/>
        <v>2940.7841459999945</v>
      </c>
      <c r="F26" s="89">
        <f t="shared" si="15"/>
        <v>10168.809543899995</v>
      </c>
      <c r="G26" s="89">
        <f t="shared" si="15"/>
        <v>1986.8739085000052</v>
      </c>
      <c r="H26" s="89">
        <f t="shared" si="15"/>
        <v>3137.303901599993</v>
      </c>
      <c r="I26" s="89">
        <f t="shared" si="15"/>
        <v>19617.7217724</v>
      </c>
      <c r="J26" s="89">
        <f t="shared" si="15"/>
        <v>14891.584000000003</v>
      </c>
      <c r="K26" s="89">
        <f>K17-K18+K19+K20</f>
        <v>5587.2185730047986</v>
      </c>
      <c r="L26" s="89">
        <f t="shared" ref="L26:Z26" si="16">L21-L22</f>
        <v>-237.40250793278665</v>
      </c>
      <c r="M26" s="89">
        <f t="shared" si="16"/>
        <v>3679.5847727148162</v>
      </c>
      <c r="N26" s="89">
        <f t="shared" si="16"/>
        <v>-1263.0345569772462</v>
      </c>
      <c r="O26" s="89">
        <f t="shared" si="16"/>
        <v>-953.41009572747589</v>
      </c>
      <c r="P26" s="89">
        <f t="shared" si="16"/>
        <v>-522.18810552334344</v>
      </c>
      <c r="Q26" s="89">
        <f t="shared" si="16"/>
        <v>-193.91086890584938</v>
      </c>
      <c r="R26" s="89">
        <f t="shared" si="16"/>
        <v>155.69630588155906</v>
      </c>
      <c r="S26" s="89">
        <f t="shared" si="16"/>
        <v>528.12334179939262</v>
      </c>
      <c r="T26" s="89">
        <f t="shared" si="16"/>
        <v>924.96902417335787</v>
      </c>
      <c r="U26" s="89">
        <f t="shared" si="16"/>
        <v>1347.9491660999965</v>
      </c>
      <c r="V26" s="89">
        <f t="shared" si="16"/>
        <v>1798.9053958206705</v>
      </c>
      <c r="W26" s="89">
        <f t="shared" si="16"/>
        <v>2279.814613912341</v>
      </c>
      <c r="X26" s="89">
        <f t="shared" si="16"/>
        <v>2792.7991718547519</v>
      </c>
      <c r="Y26" s="89">
        <f>Y21-Y22+Y23</f>
        <v>114533.89914180587</v>
      </c>
      <c r="Z26" s="89">
        <f t="shared" si="16"/>
        <v>3340.1378275298221</v>
      </c>
    </row>
    <row r="27" spans="2:26" x14ac:dyDescent="0.3">
      <c r="B27" s="187"/>
    </row>
    <row r="28" spans="2:26" x14ac:dyDescent="0.3">
      <c r="B28" s="186" t="s">
        <v>188</v>
      </c>
      <c r="K28" s="89">
        <f t="shared" ref="K28:Y28" si="17">K26/((1+$L$35)^K8)</f>
        <v>5084.7028140272123</v>
      </c>
      <c r="L28" s="89">
        <f t="shared" si="17"/>
        <v>-196.61883990194457</v>
      </c>
      <c r="M28" s="92">
        <f t="shared" si="17"/>
        <v>2773.374723693852</v>
      </c>
      <c r="N28" s="92">
        <f t="shared" si="17"/>
        <v>-866.35300616354743</v>
      </c>
      <c r="O28" s="92">
        <f t="shared" si="17"/>
        <v>-595.15394042158823</v>
      </c>
      <c r="P28" s="92">
        <f t="shared" si="17"/>
        <v>-296.65143637468776</v>
      </c>
      <c r="Q28" s="92">
        <f t="shared" si="17"/>
        <v>-100.25165390682544</v>
      </c>
      <c r="R28" s="92">
        <f t="shared" si="17"/>
        <v>73.255057832163658</v>
      </c>
      <c r="S28" s="92">
        <f t="shared" si="17"/>
        <v>226.13333264509137</v>
      </c>
      <c r="T28" s="92">
        <f t="shared" si="17"/>
        <v>360.43447426965167</v>
      </c>
      <c r="U28" s="92">
        <f t="shared" si="17"/>
        <v>478.01614115756229</v>
      </c>
      <c r="V28" s="92">
        <f t="shared" si="17"/>
        <v>580.56023402515177</v>
      </c>
      <c r="W28" s="92">
        <f t="shared" si="17"/>
        <v>669.58914928229808</v>
      </c>
      <c r="X28" s="92">
        <f t="shared" si="17"/>
        <v>746.48054669683472</v>
      </c>
      <c r="Y28" s="92">
        <f t="shared" si="17"/>
        <v>27860.104863699726</v>
      </c>
      <c r="Z28" s="92"/>
    </row>
    <row r="29" spans="2:26" x14ac:dyDescent="0.3">
      <c r="B29" s="186" t="s">
        <v>189</v>
      </c>
      <c r="C29" s="92"/>
      <c r="D29" s="92"/>
      <c r="E29" s="92"/>
      <c r="F29" s="92"/>
      <c r="G29" s="92"/>
      <c r="H29" s="92"/>
      <c r="I29" s="92"/>
      <c r="J29" s="92"/>
      <c r="K29" s="89">
        <f>K28</f>
        <v>5084.7028140272123</v>
      </c>
      <c r="L29" s="89">
        <f>K29+L28</f>
        <v>4888.0839741252676</v>
      </c>
      <c r="M29" s="92">
        <f t="shared" ref="M29:Y29" si="18">L29+M28</f>
        <v>7661.4586978191201</v>
      </c>
      <c r="N29" s="92">
        <f t="shared" si="18"/>
        <v>6795.1056916555726</v>
      </c>
      <c r="O29" s="92">
        <f t="shared" si="18"/>
        <v>6199.9517512339844</v>
      </c>
      <c r="P29" s="92">
        <f t="shared" si="18"/>
        <v>5903.300314859297</v>
      </c>
      <c r="Q29" s="92">
        <f t="shared" si="18"/>
        <v>5803.0486609524714</v>
      </c>
      <c r="R29" s="92">
        <f t="shared" si="18"/>
        <v>5876.3037187846348</v>
      </c>
      <c r="S29" s="92">
        <f t="shared" si="18"/>
        <v>6102.4370514297261</v>
      </c>
      <c r="T29" s="92">
        <f t="shared" si="18"/>
        <v>6462.8715256993783</v>
      </c>
      <c r="U29" s="92">
        <f t="shared" si="18"/>
        <v>6940.887666856941</v>
      </c>
      <c r="V29" s="92">
        <f t="shared" si="18"/>
        <v>7521.4479008820927</v>
      </c>
      <c r="W29" s="92">
        <f t="shared" si="18"/>
        <v>8191.0370501643911</v>
      </c>
      <c r="X29" s="92">
        <f t="shared" si="18"/>
        <v>8937.5175968612257</v>
      </c>
      <c r="Y29" s="92">
        <f t="shared" si="18"/>
        <v>36797.622460560953</v>
      </c>
      <c r="Z29" s="92"/>
    </row>
    <row r="30" spans="2:26" x14ac:dyDescent="0.3">
      <c r="Y30" s="39" t="s">
        <v>216</v>
      </c>
    </row>
    <row r="31" spans="2:26" ht="15" customHeight="1" x14ac:dyDescent="0.3"/>
    <row r="32" spans="2:26" x14ac:dyDescent="0.3">
      <c r="K32" s="189" t="s">
        <v>190</v>
      </c>
      <c r="L32" s="190"/>
      <c r="O32" s="154" t="s">
        <v>198</v>
      </c>
      <c r="P32" s="155">
        <f>(P33*P34)+(P35*P36)*(1-P37)</f>
        <v>9.8828934031560706E-2</v>
      </c>
    </row>
    <row r="33" spans="11:17" x14ac:dyDescent="0.3">
      <c r="K33" s="191" t="s">
        <v>191</v>
      </c>
      <c r="L33" s="192">
        <f>SUM(K28:Y28)</f>
        <v>36797.622460560953</v>
      </c>
      <c r="M33" s="93"/>
      <c r="O33" s="148" t="s">
        <v>199</v>
      </c>
      <c r="P33" s="149">
        <v>0.70123790721256518</v>
      </c>
    </row>
    <row r="34" spans="11:17" x14ac:dyDescent="0.3">
      <c r="K34" s="191"/>
      <c r="L34" s="192"/>
      <c r="O34" s="150" t="s">
        <v>200</v>
      </c>
      <c r="P34" s="151">
        <v>0.11200250586257481</v>
      </c>
    </row>
    <row r="35" spans="11:17" ht="14.4" customHeight="1" x14ac:dyDescent="0.3">
      <c r="K35" s="148" t="s">
        <v>192</v>
      </c>
      <c r="L35" s="161">
        <f>P32</f>
        <v>9.8828934031560706E-2</v>
      </c>
      <c r="O35" s="148" t="s">
        <v>201</v>
      </c>
      <c r="P35" s="149">
        <f>1-P33</f>
        <v>0.29876209278743482</v>
      </c>
    </row>
    <row r="36" spans="11:17" x14ac:dyDescent="0.3">
      <c r="K36" s="148"/>
      <c r="L36" s="161"/>
      <c r="N36" s="158">
        <v>8.5</v>
      </c>
      <c r="O36" s="148" t="s">
        <v>202</v>
      </c>
      <c r="P36" s="149">
        <v>9.7012361090366234E-2</v>
      </c>
      <c r="Q36" s="95"/>
    </row>
    <row r="37" spans="11:17" ht="27.6" x14ac:dyDescent="0.3">
      <c r="K37" s="162" t="s">
        <v>193</v>
      </c>
      <c r="L37" s="163">
        <f>'Balance general'!J101</f>
        <v>104071</v>
      </c>
      <c r="M37" s="96" t="s">
        <v>273</v>
      </c>
      <c r="O37" s="152" t="s">
        <v>203</v>
      </c>
      <c r="P37" s="153">
        <v>0.3</v>
      </c>
    </row>
    <row r="38" spans="11:17" hidden="1" x14ac:dyDescent="0.3">
      <c r="K38" s="162" t="s">
        <v>194</v>
      </c>
      <c r="L38" s="164"/>
    </row>
    <row r="39" spans="11:17" hidden="1" x14ac:dyDescent="0.3">
      <c r="K39" s="162" t="s">
        <v>195</v>
      </c>
      <c r="L39" s="164"/>
    </row>
    <row r="40" spans="11:17" x14ac:dyDescent="0.3">
      <c r="K40" s="162" t="s">
        <v>196</v>
      </c>
      <c r="L40" s="163">
        <f>'Balance general'!J68</f>
        <v>37695</v>
      </c>
      <c r="M40" s="39" t="s">
        <v>264</v>
      </c>
    </row>
    <row r="41" spans="11:17" x14ac:dyDescent="0.3">
      <c r="K41" s="165" t="s">
        <v>197</v>
      </c>
      <c r="L41" s="160">
        <f>L33-L37-L38-L39+L40</f>
        <v>-29578.37753943904</v>
      </c>
    </row>
    <row r="42" spans="11:17" ht="27.6" x14ac:dyDescent="0.3">
      <c r="K42" s="166" t="s">
        <v>266</v>
      </c>
      <c r="L42" s="160">
        <v>963917211</v>
      </c>
    </row>
    <row r="43" spans="11:17" x14ac:dyDescent="0.3">
      <c r="K43" s="167" t="s">
        <v>265</v>
      </c>
      <c r="L43" s="168">
        <f>(L41*10^6)/L42</f>
        <v>-30.68559955346522</v>
      </c>
    </row>
    <row r="48" spans="11:17" x14ac:dyDescent="0.3">
      <c r="L48" s="97"/>
      <c r="M48" s="94"/>
    </row>
    <row r="52" spans="12:18" x14ac:dyDescent="0.3">
      <c r="L52" s="97"/>
      <c r="M52" s="94"/>
    </row>
    <row r="53" spans="12:18" x14ac:dyDescent="0.3">
      <c r="L53" s="97"/>
      <c r="M53" s="94"/>
    </row>
    <row r="56" spans="12:18" x14ac:dyDescent="0.3">
      <c r="L56" s="97"/>
      <c r="M56" s="94"/>
    </row>
    <row r="57" spans="12:18" x14ac:dyDescent="0.3">
      <c r="O57" s="84" t="s">
        <v>274</v>
      </c>
      <c r="P57" s="84" t="s">
        <v>275</v>
      </c>
      <c r="Q57" s="84" t="s">
        <v>276</v>
      </c>
    </row>
    <row r="58" spans="12:18" x14ac:dyDescent="0.3">
      <c r="O58" s="187" t="s">
        <v>277</v>
      </c>
      <c r="P58" s="188">
        <v>36797.622460560953</v>
      </c>
      <c r="Q58" s="39">
        <v>-30.68559955346522</v>
      </c>
      <c r="R58" s="92"/>
    </row>
    <row r="59" spans="12:18" x14ac:dyDescent="0.3">
      <c r="O59" s="187" t="s">
        <v>278</v>
      </c>
      <c r="P59" s="188">
        <v>60617.439942814643</v>
      </c>
      <c r="Q59" s="39">
        <v>-5.9741230797313332</v>
      </c>
      <c r="R59" s="92"/>
    </row>
    <row r="60" spans="12:18" x14ac:dyDescent="0.3">
      <c r="O60" s="187" t="s">
        <v>279</v>
      </c>
      <c r="P60" s="188">
        <v>37254.984055800538</v>
      </c>
      <c r="Q60" s="39">
        <v>-30.211117315758212</v>
      </c>
      <c r="R60" s="92"/>
    </row>
    <row r="61" spans="12:18" x14ac:dyDescent="0.3">
      <c r="O61" s="187" t="s">
        <v>280</v>
      </c>
      <c r="P61" s="188">
        <v>46530.575988488512</v>
      </c>
      <c r="Q61" s="39">
        <v>-20.588307569405451</v>
      </c>
      <c r="R61" s="92"/>
    </row>
  </sheetData>
  <mergeCells count="3">
    <mergeCell ref="K32:L32"/>
    <mergeCell ref="K33:K34"/>
    <mergeCell ref="L33:L3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B4CE-4362-4E79-9662-FB9285EC074E}">
  <dimension ref="B2:U22"/>
  <sheetViews>
    <sheetView zoomScaleNormal="100" workbookViewId="0"/>
  </sheetViews>
  <sheetFormatPr defaultRowHeight="14.4" x14ac:dyDescent="0.3"/>
  <cols>
    <col min="1" max="16384" width="8.88671875" style="115"/>
  </cols>
  <sheetData>
    <row r="2" spans="2:21" ht="15" thickBot="1" x14ac:dyDescent="0.35"/>
    <row r="3" spans="2:21" x14ac:dyDescent="0.3">
      <c r="B3" s="115" t="s">
        <v>214</v>
      </c>
      <c r="E3" s="115" t="s">
        <v>215</v>
      </c>
      <c r="L3" s="204" t="s">
        <v>232</v>
      </c>
      <c r="M3" s="204"/>
      <c r="N3" s="204"/>
      <c r="O3" s="204"/>
      <c r="P3" s="205"/>
      <c r="Q3" s="195" t="s">
        <v>234</v>
      </c>
      <c r="R3" s="195"/>
      <c r="S3" s="195"/>
      <c r="T3" s="195"/>
      <c r="U3" s="195"/>
    </row>
    <row r="4" spans="2:21" ht="15" thickBot="1" x14ac:dyDescent="0.35">
      <c r="B4" s="115">
        <v>205</v>
      </c>
      <c r="C4" s="115" t="s">
        <v>206</v>
      </c>
      <c r="E4" s="115">
        <v>64</v>
      </c>
      <c r="F4" s="115" t="s">
        <v>211</v>
      </c>
      <c r="L4" s="206"/>
      <c r="M4" s="206"/>
      <c r="N4" s="206"/>
      <c r="O4" s="206"/>
      <c r="P4" s="207"/>
      <c r="Q4" s="197"/>
      <c r="R4" s="197"/>
      <c r="S4" s="197"/>
      <c r="T4" s="197"/>
      <c r="U4" s="197"/>
    </row>
    <row r="5" spans="2:21" x14ac:dyDescent="0.3">
      <c r="B5" s="115">
        <v>75</v>
      </c>
      <c r="C5" s="115" t="s">
        <v>207</v>
      </c>
      <c r="E5" s="115">
        <v>59</v>
      </c>
      <c r="F5" s="115" t="s">
        <v>212</v>
      </c>
      <c r="L5" s="194" t="s">
        <v>238</v>
      </c>
      <c r="M5" s="202"/>
      <c r="N5" s="202"/>
      <c r="O5" s="202"/>
      <c r="P5" s="203"/>
      <c r="Q5" s="199" t="s">
        <v>239</v>
      </c>
      <c r="R5" s="200"/>
      <c r="S5" s="200"/>
      <c r="T5" s="200"/>
      <c r="U5" s="200"/>
    </row>
    <row r="6" spans="2:21" x14ac:dyDescent="0.3">
      <c r="B6" s="115">
        <v>8</v>
      </c>
      <c r="C6" s="115" t="s">
        <v>208</v>
      </c>
      <c r="E6" s="115">
        <v>253</v>
      </c>
      <c r="F6" s="115" t="s">
        <v>213</v>
      </c>
      <c r="L6" s="202"/>
      <c r="M6" s="202"/>
      <c r="N6" s="202"/>
      <c r="O6" s="202"/>
      <c r="P6" s="203"/>
      <c r="Q6" s="202"/>
      <c r="R6" s="202"/>
      <c r="S6" s="202"/>
      <c r="T6" s="202"/>
      <c r="U6" s="202"/>
    </row>
    <row r="7" spans="2:21" x14ac:dyDescent="0.3">
      <c r="B7" s="115">
        <v>80</v>
      </c>
      <c r="C7" s="115" t="s">
        <v>209</v>
      </c>
      <c r="E7" s="116">
        <f>SUM(E4:E6)</f>
        <v>376</v>
      </c>
      <c r="L7" s="202"/>
      <c r="M7" s="202"/>
      <c r="N7" s="202"/>
      <c r="O7" s="202"/>
      <c r="P7" s="203"/>
      <c r="Q7" s="202"/>
      <c r="R7" s="202"/>
      <c r="S7" s="202"/>
      <c r="T7" s="202"/>
      <c r="U7" s="202"/>
    </row>
    <row r="8" spans="2:21" x14ac:dyDescent="0.3">
      <c r="B8" s="115">
        <v>36</v>
      </c>
      <c r="C8" s="115" t="s">
        <v>210</v>
      </c>
      <c r="L8" s="202"/>
      <c r="M8" s="202"/>
      <c r="N8" s="202"/>
      <c r="O8" s="202"/>
      <c r="P8" s="203"/>
      <c r="Q8" s="202"/>
      <c r="R8" s="202"/>
      <c r="S8" s="202"/>
      <c r="T8" s="202"/>
      <c r="U8" s="202"/>
    </row>
    <row r="9" spans="2:21" x14ac:dyDescent="0.3">
      <c r="B9" s="116">
        <f>SUM(B4:B8)</f>
        <v>404</v>
      </c>
      <c r="L9" s="202"/>
      <c r="M9" s="202"/>
      <c r="N9" s="202"/>
      <c r="O9" s="202"/>
      <c r="P9" s="203"/>
      <c r="Q9" s="202"/>
      <c r="R9" s="202"/>
      <c r="S9" s="202"/>
      <c r="T9" s="202"/>
      <c r="U9" s="202"/>
    </row>
    <row r="10" spans="2:21" x14ac:dyDescent="0.3">
      <c r="L10" s="202"/>
      <c r="M10" s="202"/>
      <c r="N10" s="202"/>
      <c r="O10" s="202"/>
      <c r="P10" s="203"/>
      <c r="Q10" s="202"/>
      <c r="R10" s="202"/>
      <c r="S10" s="202"/>
      <c r="T10" s="202"/>
      <c r="U10" s="202"/>
    </row>
    <row r="11" spans="2:21" x14ac:dyDescent="0.3">
      <c r="L11" s="202"/>
      <c r="M11" s="202"/>
      <c r="N11" s="202"/>
      <c r="O11" s="202"/>
      <c r="P11" s="203"/>
      <c r="Q11" s="202"/>
      <c r="R11" s="202"/>
      <c r="S11" s="202"/>
      <c r="T11" s="202"/>
      <c r="U11" s="202"/>
    </row>
    <row r="12" spans="2:21" ht="15" thickBot="1" x14ac:dyDescent="0.35">
      <c r="L12" s="202"/>
      <c r="M12" s="202"/>
      <c r="N12" s="202"/>
      <c r="O12" s="202"/>
      <c r="P12" s="203"/>
      <c r="Q12" s="202"/>
      <c r="R12" s="202"/>
      <c r="S12" s="202"/>
      <c r="T12" s="202"/>
      <c r="U12" s="202"/>
    </row>
    <row r="13" spans="2:21" ht="14.4" customHeight="1" x14ac:dyDescent="0.3">
      <c r="L13" s="195" t="s">
        <v>235</v>
      </c>
      <c r="M13" s="195"/>
      <c r="N13" s="195"/>
      <c r="O13" s="195"/>
      <c r="P13" s="196"/>
      <c r="Q13" s="204" t="s">
        <v>233</v>
      </c>
      <c r="R13" s="204"/>
      <c r="S13" s="204"/>
      <c r="T13" s="204"/>
      <c r="U13" s="204"/>
    </row>
    <row r="14" spans="2:21" ht="14.4" customHeight="1" thickBot="1" x14ac:dyDescent="0.35">
      <c r="L14" s="197"/>
      <c r="M14" s="197"/>
      <c r="N14" s="197"/>
      <c r="O14" s="197"/>
      <c r="P14" s="198"/>
      <c r="Q14" s="206"/>
      <c r="R14" s="206"/>
      <c r="S14" s="206"/>
      <c r="T14" s="206"/>
      <c r="U14" s="206"/>
    </row>
    <row r="15" spans="2:21" x14ac:dyDescent="0.3">
      <c r="L15" s="199" t="s">
        <v>236</v>
      </c>
      <c r="M15" s="200"/>
      <c r="N15" s="200"/>
      <c r="O15" s="200"/>
      <c r="P15" s="201"/>
      <c r="Q15" s="193" t="s">
        <v>237</v>
      </c>
      <c r="R15" s="193"/>
      <c r="S15" s="193"/>
      <c r="T15" s="193"/>
      <c r="U15" s="193"/>
    </row>
    <row r="16" spans="2:21" x14ac:dyDescent="0.3">
      <c r="L16" s="202"/>
      <c r="M16" s="202"/>
      <c r="N16" s="202"/>
      <c r="O16" s="202"/>
      <c r="P16" s="203"/>
      <c r="Q16" s="194"/>
      <c r="R16" s="194"/>
      <c r="S16" s="194"/>
      <c r="T16" s="194"/>
      <c r="U16" s="194"/>
    </row>
    <row r="17" spans="12:21" x14ac:dyDescent="0.3">
      <c r="L17" s="202"/>
      <c r="M17" s="202"/>
      <c r="N17" s="202"/>
      <c r="O17" s="202"/>
      <c r="P17" s="203"/>
      <c r="Q17" s="194"/>
      <c r="R17" s="194"/>
      <c r="S17" s="194"/>
      <c r="T17" s="194"/>
      <c r="U17" s="194"/>
    </row>
    <row r="18" spans="12:21" x14ac:dyDescent="0.3">
      <c r="L18" s="202"/>
      <c r="M18" s="202"/>
      <c r="N18" s="202"/>
      <c r="O18" s="202"/>
      <c r="P18" s="203"/>
      <c r="Q18" s="194"/>
      <c r="R18" s="194"/>
      <c r="S18" s="194"/>
      <c r="T18" s="194"/>
      <c r="U18" s="194"/>
    </row>
    <row r="19" spans="12:21" x14ac:dyDescent="0.3">
      <c r="L19" s="202"/>
      <c r="M19" s="202"/>
      <c r="N19" s="202"/>
      <c r="O19" s="202"/>
      <c r="P19" s="203"/>
      <c r="Q19" s="194"/>
      <c r="R19" s="194"/>
      <c r="S19" s="194"/>
      <c r="T19" s="194"/>
      <c r="U19" s="194"/>
    </row>
    <row r="20" spans="12:21" x14ac:dyDescent="0.3">
      <c r="L20" s="202"/>
      <c r="M20" s="202"/>
      <c r="N20" s="202"/>
      <c r="O20" s="202"/>
      <c r="P20" s="203"/>
      <c r="Q20" s="194"/>
      <c r="R20" s="194"/>
      <c r="S20" s="194"/>
      <c r="T20" s="194"/>
      <c r="U20" s="194"/>
    </row>
    <row r="21" spans="12:21" x14ac:dyDescent="0.3">
      <c r="L21" s="202"/>
      <c r="M21" s="202"/>
      <c r="N21" s="202"/>
      <c r="O21" s="202"/>
      <c r="P21" s="203"/>
      <c r="Q21" s="194"/>
      <c r="R21" s="194"/>
      <c r="S21" s="194"/>
      <c r="T21" s="194"/>
      <c r="U21" s="194"/>
    </row>
    <row r="22" spans="12:21" x14ac:dyDescent="0.3">
      <c r="L22" s="202"/>
      <c r="M22" s="202"/>
      <c r="N22" s="202"/>
      <c r="O22" s="202"/>
      <c r="P22" s="203"/>
      <c r="Q22" s="194"/>
      <c r="R22" s="194"/>
      <c r="S22" s="194"/>
      <c r="T22" s="194"/>
      <c r="U22" s="194"/>
    </row>
  </sheetData>
  <mergeCells count="8">
    <mergeCell ref="Q15:U22"/>
    <mergeCell ref="L13:P14"/>
    <mergeCell ref="L15:P22"/>
    <mergeCell ref="Q3:U4"/>
    <mergeCell ref="Q5:U12"/>
    <mergeCell ref="L3:P4"/>
    <mergeCell ref="L5:P12"/>
    <mergeCell ref="Q13:U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1918-92BE-4375-A5C4-EDBDA9579F1C}">
  <dimension ref="A1:T62"/>
  <sheetViews>
    <sheetView zoomScale="85" zoomScaleNormal="85" workbookViewId="0"/>
  </sheetViews>
  <sheetFormatPr defaultRowHeight="14.4" x14ac:dyDescent="0.3"/>
  <cols>
    <col min="1" max="1" width="9" style="115" bestFit="1" customWidth="1"/>
    <col min="2" max="2" width="42.88671875" style="115" bestFit="1" customWidth="1"/>
    <col min="3" max="3" width="23.77734375" style="115" bestFit="1" customWidth="1"/>
    <col min="4" max="5" width="22.88671875" style="115" bestFit="1" customWidth="1"/>
    <col min="6" max="6" width="22.33203125" style="115" bestFit="1" customWidth="1"/>
    <col min="7" max="7" width="15.44140625" style="115" bestFit="1" customWidth="1"/>
    <col min="8" max="18" width="15.109375" style="115" bestFit="1" customWidth="1"/>
    <col min="19" max="19" width="14.88671875" style="115" bestFit="1" customWidth="1"/>
    <col min="20" max="20" width="14.5546875" style="115" customWidth="1"/>
    <col min="21" max="16384" width="8.88671875" style="115"/>
  </cols>
  <sheetData>
    <row r="1" spans="1:20" x14ac:dyDescent="0.3">
      <c r="D1" s="181" t="s">
        <v>270</v>
      </c>
      <c r="E1" s="182">
        <v>5.5E-2</v>
      </c>
      <c r="G1" s="181" t="s">
        <v>271</v>
      </c>
      <c r="H1" s="182">
        <f>E8/D8-1</f>
        <v>0.14388177827242932</v>
      </c>
      <c r="J1" s="140"/>
    </row>
    <row r="2" spans="1:20" x14ac:dyDescent="0.3">
      <c r="C2" s="140"/>
      <c r="D2" s="181" t="s">
        <v>269</v>
      </c>
      <c r="E2" s="182">
        <f>E6/D6-1</f>
        <v>7.6285615975233645E-2</v>
      </c>
      <c r="G2" s="181" t="s">
        <v>272</v>
      </c>
      <c r="H2" s="182">
        <f>AVERAGE('Modelo financiero'!$C$13:$J$13)</f>
        <v>4.6992339847742259E-2</v>
      </c>
      <c r="I2" s="213">
        <f>'Estado de resultados'!$T$34</f>
        <v>0.21416988154672323</v>
      </c>
    </row>
    <row r="3" spans="1:20" ht="17.399999999999999" x14ac:dyDescent="0.3">
      <c r="B3" s="144" t="s">
        <v>175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</row>
    <row r="4" spans="1:20" x14ac:dyDescent="0.3">
      <c r="B4" s="85" t="str">
        <f>'Modelo financiero'!B8</f>
        <v>Periodo</v>
      </c>
      <c r="C4" s="133">
        <f>'Modelo financiero'!H8</f>
        <v>-2</v>
      </c>
      <c r="D4" s="133">
        <f>'Modelo financiero'!I8</f>
        <v>-1</v>
      </c>
      <c r="E4" s="133">
        <f>'Modelo financiero'!J8</f>
        <v>0</v>
      </c>
      <c r="F4" s="87">
        <f>'Modelo financiero'!K8</f>
        <v>1</v>
      </c>
      <c r="G4" s="87">
        <f>'Modelo financiero'!L8</f>
        <v>2</v>
      </c>
      <c r="H4" s="87">
        <f>'Modelo financiero'!M8</f>
        <v>3</v>
      </c>
      <c r="I4" s="87">
        <f>'Modelo financiero'!N8</f>
        <v>4</v>
      </c>
      <c r="J4" s="87">
        <f>'Modelo financiero'!O8</f>
        <v>5</v>
      </c>
      <c r="K4" s="87">
        <f>'Modelo financiero'!P8</f>
        <v>6</v>
      </c>
      <c r="L4" s="87">
        <f>'Modelo financiero'!Q8</f>
        <v>7</v>
      </c>
      <c r="M4" s="87">
        <f>'Modelo financiero'!R8</f>
        <v>8</v>
      </c>
      <c r="N4" s="87">
        <f>'Modelo financiero'!S8</f>
        <v>9</v>
      </c>
      <c r="O4" s="87">
        <f>'Modelo financiero'!T8</f>
        <v>10</v>
      </c>
      <c r="P4" s="87">
        <f>'Modelo financiero'!U8</f>
        <v>11</v>
      </c>
      <c r="Q4" s="87">
        <f>'Modelo financiero'!V8</f>
        <v>12</v>
      </c>
      <c r="R4" s="87">
        <f>'Modelo financiero'!W8</f>
        <v>13</v>
      </c>
      <c r="S4" s="87">
        <f>'Modelo financiero'!X8</f>
        <v>14</v>
      </c>
      <c r="T4" s="87">
        <f>'Modelo financiero'!Y8</f>
        <v>15</v>
      </c>
    </row>
    <row r="5" spans="1:20" x14ac:dyDescent="0.3">
      <c r="B5" s="128" t="s">
        <v>217</v>
      </c>
      <c r="C5" s="133">
        <f>'Modelo financiero'!H9</f>
        <v>2020</v>
      </c>
      <c r="D5" s="133">
        <f>'Modelo financiero'!I9</f>
        <v>2021</v>
      </c>
      <c r="E5" s="133">
        <f>'Modelo financiero'!J9</f>
        <v>2022</v>
      </c>
      <c r="F5" s="87">
        <f>'Modelo financiero'!K9</f>
        <v>2023</v>
      </c>
      <c r="G5" s="87">
        <f>'Modelo financiero'!L9</f>
        <v>2024</v>
      </c>
      <c r="H5" s="87">
        <f>'Modelo financiero'!M9</f>
        <v>2025</v>
      </c>
      <c r="I5" s="87">
        <f>'Modelo financiero'!N9</f>
        <v>2026</v>
      </c>
      <c r="J5" s="87">
        <f>'Modelo financiero'!O9</f>
        <v>2027</v>
      </c>
      <c r="K5" s="87">
        <f>'Modelo financiero'!P9</f>
        <v>2028</v>
      </c>
      <c r="L5" s="87">
        <f>'Modelo financiero'!Q9</f>
        <v>2029</v>
      </c>
      <c r="M5" s="87">
        <f>'Modelo financiero'!R9</f>
        <v>2030</v>
      </c>
      <c r="N5" s="87">
        <f>'Modelo financiero'!S9</f>
        <v>2031</v>
      </c>
      <c r="O5" s="87">
        <f>'Modelo financiero'!T9</f>
        <v>2032</v>
      </c>
      <c r="P5" s="87">
        <f>'Modelo financiero'!U9</f>
        <v>2033</v>
      </c>
      <c r="Q5" s="87">
        <f>'Modelo financiero'!V9</f>
        <v>2034</v>
      </c>
      <c r="R5" s="87">
        <f>'Modelo financiero'!W9</f>
        <v>2035</v>
      </c>
      <c r="S5" s="87">
        <f>'Modelo financiero'!X9</f>
        <v>2036</v>
      </c>
      <c r="T5" s="87">
        <f>'Modelo financiero'!Y9</f>
        <v>2037</v>
      </c>
    </row>
    <row r="6" spans="1:20" x14ac:dyDescent="0.3">
      <c r="A6" s="141"/>
      <c r="B6" s="126" t="s">
        <v>218</v>
      </c>
      <c r="C6" s="89">
        <f>'Estado de resultados'!H87</f>
        <v>101989.7352</v>
      </c>
      <c r="D6" s="89">
        <f>'Estado de resultados'!I87</f>
        <v>97316.175600000002</v>
      </c>
      <c r="E6" s="89">
        <f>'Estado de resultados'!J87</f>
        <v>104740</v>
      </c>
      <c r="F6" s="89">
        <f>E6*(1+$E$2)</f>
        <v>112730.15541724597</v>
      </c>
      <c r="G6" s="89">
        <f t="shared" ref="G6:J6" si="0">F6*(1+$E$2)</f>
        <v>121329.84476223441</v>
      </c>
      <c r="H6" s="89">
        <f t="shared" si="0"/>
        <v>130585.56670610094</v>
      </c>
      <c r="I6" s="89">
        <f t="shared" si="0"/>
        <v>140547.36709975082</v>
      </c>
      <c r="J6" s="89">
        <f t="shared" si="0"/>
        <v>151269.10957265258</v>
      </c>
      <c r="K6" s="89">
        <f>J6*(1+$E$2/2)</f>
        <v>157038.93817354005</v>
      </c>
      <c r="L6" s="89">
        <f t="shared" ref="L6:T6" si="1">K6*(1+$E$2/2)</f>
        <v>163028.84423887264</v>
      </c>
      <c r="M6" s="89">
        <f t="shared" si="1"/>
        <v>169247.22214111907</v>
      </c>
      <c r="N6" s="89">
        <f t="shared" si="1"/>
        <v>175702.78643768531</v>
      </c>
      <c r="O6" s="89">
        <f t="shared" si="1"/>
        <v>182404.5840836672</v>
      </c>
      <c r="P6" s="89">
        <f t="shared" si="1"/>
        <v>189362.00711043164</v>
      </c>
      <c r="Q6" s="89">
        <f t="shared" si="1"/>
        <v>196584.80578779458</v>
      </c>
      <c r="R6" s="89">
        <f t="shared" si="1"/>
        <v>204083.10228824141</v>
      </c>
      <c r="S6" s="89">
        <f t="shared" si="1"/>
        <v>211867.40487233899</v>
      </c>
      <c r="T6" s="89">
        <f t="shared" si="1"/>
        <v>219948.6226152193</v>
      </c>
    </row>
    <row r="7" spans="1:20" x14ac:dyDescent="0.3">
      <c r="A7" s="141"/>
      <c r="B7" s="126" t="s">
        <v>219</v>
      </c>
      <c r="C7" s="89">
        <f>'Estado de resultados'!H88</f>
        <v>77724.294299999994</v>
      </c>
      <c r="D7" s="89">
        <f>'Estado de resultados'!I88</f>
        <v>104907.78180000001</v>
      </c>
      <c r="E7" s="89">
        <f>'Estado de resultados'!J88</f>
        <v>153439</v>
      </c>
      <c r="F7" s="89">
        <f>E7*(1+$E$1)</f>
        <v>161878.14499999999</v>
      </c>
      <c r="G7" s="89">
        <f t="shared" ref="G7:J7" si="2">F7*(1+$E$1)</f>
        <v>170781.44297499998</v>
      </c>
      <c r="H7" s="89">
        <f t="shared" si="2"/>
        <v>180174.42233862498</v>
      </c>
      <c r="I7" s="89">
        <f t="shared" si="2"/>
        <v>190084.01556724936</v>
      </c>
      <c r="J7" s="89">
        <f t="shared" si="2"/>
        <v>200538.63642344807</v>
      </c>
      <c r="K7" s="89">
        <f>J7*(1+$E$2)</f>
        <v>215836.84982984423</v>
      </c>
      <c r="L7" s="89">
        <f t="shared" ref="L7:T7" si="3">K7*(1+$E$2)</f>
        <v>232302.0968692679</v>
      </c>
      <c r="M7" s="89">
        <f t="shared" si="3"/>
        <v>250023.40542127841</v>
      </c>
      <c r="N7" s="89">
        <f t="shared" si="3"/>
        <v>269096.59491206618</v>
      </c>
      <c r="O7" s="89">
        <f t="shared" si="3"/>
        <v>289624.79441177106</v>
      </c>
      <c r="P7" s="89">
        <f t="shared" si="3"/>
        <v>311719.00025517342</v>
      </c>
      <c r="Q7" s="89">
        <f t="shared" si="3"/>
        <v>335498.67620082333</v>
      </c>
      <c r="R7" s="89">
        <f t="shared" si="3"/>
        <v>361092.39937367861</v>
      </c>
      <c r="S7" s="89">
        <f t="shared" si="3"/>
        <v>388638.55548387475</v>
      </c>
      <c r="T7" s="89">
        <f t="shared" si="3"/>
        <v>418286.08708068717</v>
      </c>
    </row>
    <row r="8" spans="1:20" x14ac:dyDescent="0.3">
      <c r="A8" s="141"/>
      <c r="B8" s="126" t="s">
        <v>220</v>
      </c>
      <c r="C8" s="89">
        <f>'Estado de resultados'!H89</f>
        <v>1052.8163999999999</v>
      </c>
      <c r="D8" s="89">
        <f>'Estado de resultados'!I89</f>
        <v>1002.726</v>
      </c>
      <c r="E8" s="89">
        <f>'Estado de resultados'!J89</f>
        <v>1147</v>
      </c>
      <c r="F8" s="89">
        <f>E8*(1+$H$1)</f>
        <v>1312.0323996784764</v>
      </c>
      <c r="G8" s="89">
        <f t="shared" ref="G8:J8" si="4">F8*(1+$H$1)</f>
        <v>1500.8099544952584</v>
      </c>
      <c r="H8" s="89">
        <f t="shared" si="4"/>
        <v>1716.7491595969998</v>
      </c>
      <c r="I8" s="89">
        <f t="shared" si="4"/>
        <v>1963.7580815275146</v>
      </c>
      <c r="J8" s="89">
        <f t="shared" si="4"/>
        <v>2246.3070863945477</v>
      </c>
      <c r="K8" s="89">
        <f>J8*(1+10%)</f>
        <v>2470.9377950340026</v>
      </c>
      <c r="L8" s="89">
        <f t="shared" ref="L8:T8" si="5">K8*(1+10%)</f>
        <v>2718.0315745374032</v>
      </c>
      <c r="M8" s="89">
        <f t="shared" si="5"/>
        <v>2989.8347319911436</v>
      </c>
      <c r="N8" s="89">
        <f t="shared" si="5"/>
        <v>3288.8182051902581</v>
      </c>
      <c r="O8" s="89">
        <f t="shared" si="5"/>
        <v>3617.7000257092841</v>
      </c>
      <c r="P8" s="89">
        <f t="shared" si="5"/>
        <v>3979.4700282802128</v>
      </c>
      <c r="Q8" s="89">
        <f t="shared" si="5"/>
        <v>4377.4170311082344</v>
      </c>
      <c r="R8" s="89">
        <f t="shared" si="5"/>
        <v>4815.1587342190578</v>
      </c>
      <c r="S8" s="89">
        <f t="shared" si="5"/>
        <v>5296.6746076409636</v>
      </c>
      <c r="T8" s="89">
        <f t="shared" si="5"/>
        <v>5826.3420684050607</v>
      </c>
    </row>
    <row r="9" spans="1:20" x14ac:dyDescent="0.3">
      <c r="A9" s="141"/>
      <c r="B9" s="125" t="s">
        <v>221</v>
      </c>
      <c r="C9" s="98">
        <f t="shared" ref="C9:T9" si="6">SUM(C6:C8)</f>
        <v>180766.84590000001</v>
      </c>
      <c r="D9" s="98">
        <f t="shared" si="6"/>
        <v>203226.68340000001</v>
      </c>
      <c r="E9" s="98">
        <f t="shared" si="6"/>
        <v>259326</v>
      </c>
      <c r="F9" s="98">
        <f t="shared" si="6"/>
        <v>275920.33281692443</v>
      </c>
      <c r="G9" s="98">
        <f t="shared" si="6"/>
        <v>293612.09769172966</v>
      </c>
      <c r="H9" s="98">
        <f t="shared" si="6"/>
        <v>312476.73820432287</v>
      </c>
      <c r="I9" s="98">
        <f t="shared" si="6"/>
        <v>332595.14074852772</v>
      </c>
      <c r="J9" s="98">
        <f t="shared" si="6"/>
        <v>354054.05308249523</v>
      </c>
      <c r="K9" s="98">
        <f t="shared" si="6"/>
        <v>375346.72579841828</v>
      </c>
      <c r="L9" s="98">
        <f t="shared" si="6"/>
        <v>398048.97268267791</v>
      </c>
      <c r="M9" s="98">
        <f t="shared" si="6"/>
        <v>422260.46229438868</v>
      </c>
      <c r="N9" s="98">
        <f t="shared" si="6"/>
        <v>448088.19955494173</v>
      </c>
      <c r="O9" s="98">
        <f t="shared" si="6"/>
        <v>475647.07852114754</v>
      </c>
      <c r="P9" s="98">
        <f t="shared" si="6"/>
        <v>505060.47739388532</v>
      </c>
      <c r="Q9" s="98">
        <f t="shared" si="6"/>
        <v>536460.8990197262</v>
      </c>
      <c r="R9" s="98">
        <f t="shared" si="6"/>
        <v>569990.66039613902</v>
      </c>
      <c r="S9" s="98">
        <f t="shared" si="6"/>
        <v>605802.63496385468</v>
      </c>
      <c r="T9" s="98">
        <f t="shared" si="6"/>
        <v>644061.0517643115</v>
      </c>
    </row>
    <row r="10" spans="1:20" x14ac:dyDescent="0.3">
      <c r="B10" s="139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</row>
    <row r="11" spans="1:20" x14ac:dyDescent="0.3">
      <c r="B11" s="139"/>
      <c r="C11" s="98"/>
      <c r="D11" s="140"/>
      <c r="E11" s="140"/>
      <c r="F11" s="143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</row>
    <row r="12" spans="1:20" ht="17.399999999999999" x14ac:dyDescent="0.3">
      <c r="B12" s="144" t="s">
        <v>176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</row>
    <row r="13" spans="1:20" x14ac:dyDescent="0.3">
      <c r="B13" s="85" t="str">
        <f>B4</f>
        <v>Periodo</v>
      </c>
      <c r="C13" s="133">
        <f>C4</f>
        <v>-2</v>
      </c>
      <c r="D13" s="133">
        <f t="shared" ref="D13:F13" si="7">D4</f>
        <v>-1</v>
      </c>
      <c r="E13" s="133">
        <f t="shared" si="7"/>
        <v>0</v>
      </c>
      <c r="F13" s="87">
        <f t="shared" si="7"/>
        <v>1</v>
      </c>
      <c r="G13" s="87">
        <f t="shared" ref="G13:J13" si="8">G4</f>
        <v>2</v>
      </c>
      <c r="H13" s="87">
        <f t="shared" si="8"/>
        <v>3</v>
      </c>
      <c r="I13" s="87">
        <f t="shared" si="8"/>
        <v>4</v>
      </c>
      <c r="J13" s="87">
        <f t="shared" si="8"/>
        <v>5</v>
      </c>
      <c r="K13" s="87">
        <f t="shared" ref="K13:T13" si="9">K4</f>
        <v>6</v>
      </c>
      <c r="L13" s="87">
        <f t="shared" si="9"/>
        <v>7</v>
      </c>
      <c r="M13" s="87">
        <f t="shared" si="9"/>
        <v>8</v>
      </c>
      <c r="N13" s="87">
        <f t="shared" si="9"/>
        <v>9</v>
      </c>
      <c r="O13" s="87">
        <f t="shared" si="9"/>
        <v>10</v>
      </c>
      <c r="P13" s="87">
        <f t="shared" si="9"/>
        <v>11</v>
      </c>
      <c r="Q13" s="87">
        <f t="shared" si="9"/>
        <v>12</v>
      </c>
      <c r="R13" s="87">
        <f t="shared" si="9"/>
        <v>13</v>
      </c>
      <c r="S13" s="87">
        <f t="shared" si="9"/>
        <v>14</v>
      </c>
      <c r="T13" s="87">
        <f t="shared" si="9"/>
        <v>15</v>
      </c>
    </row>
    <row r="14" spans="1:20" x14ac:dyDescent="0.3">
      <c r="B14" s="128"/>
      <c r="C14" s="133">
        <f>C5</f>
        <v>2020</v>
      </c>
      <c r="D14" s="133">
        <f t="shared" ref="D14:F14" si="10">D5</f>
        <v>2021</v>
      </c>
      <c r="E14" s="133">
        <f t="shared" si="10"/>
        <v>2022</v>
      </c>
      <c r="F14" s="87">
        <f t="shared" si="10"/>
        <v>2023</v>
      </c>
      <c r="G14" s="87">
        <f t="shared" ref="G14:J14" si="11">G5</f>
        <v>2024</v>
      </c>
      <c r="H14" s="87">
        <f t="shared" si="11"/>
        <v>2025</v>
      </c>
      <c r="I14" s="87">
        <f t="shared" si="11"/>
        <v>2026</v>
      </c>
      <c r="J14" s="87">
        <f t="shared" si="11"/>
        <v>2027</v>
      </c>
      <c r="K14" s="87">
        <f t="shared" ref="K14:T14" si="12">K5</f>
        <v>2028</v>
      </c>
      <c r="L14" s="87">
        <f t="shared" si="12"/>
        <v>2029</v>
      </c>
      <c r="M14" s="87">
        <f t="shared" si="12"/>
        <v>2030</v>
      </c>
      <c r="N14" s="87">
        <f t="shared" si="12"/>
        <v>2031</v>
      </c>
      <c r="O14" s="87">
        <f t="shared" si="12"/>
        <v>2032</v>
      </c>
      <c r="P14" s="87">
        <f t="shared" si="12"/>
        <v>2033</v>
      </c>
      <c r="Q14" s="87">
        <f t="shared" si="12"/>
        <v>2034</v>
      </c>
      <c r="R14" s="87">
        <f t="shared" si="12"/>
        <v>2035</v>
      </c>
      <c r="S14" s="87">
        <f t="shared" si="12"/>
        <v>2036</v>
      </c>
      <c r="T14" s="87">
        <f t="shared" si="12"/>
        <v>2037</v>
      </c>
    </row>
    <row r="15" spans="1:20" x14ac:dyDescent="0.3">
      <c r="B15" s="127" t="s">
        <v>5</v>
      </c>
      <c r="C15" s="89">
        <f>'Estado de resultados'!H35</f>
        <v>31443.622200000002</v>
      </c>
      <c r="D15" s="89">
        <f>'Estado de resultados'!I35</f>
        <v>35800.552800000005</v>
      </c>
      <c r="E15" s="89">
        <f>'Estado de resultados'!J35</f>
        <v>45554</v>
      </c>
      <c r="F15" s="89">
        <f>F17-F16</f>
        <v>52590.83815325785</v>
      </c>
      <c r="G15" s="89">
        <f t="shared" ref="G15:T15" si="13">G17-G16</f>
        <v>55962.915642718261</v>
      </c>
      <c r="H15" s="89">
        <f t="shared" si="13"/>
        <v>59558.545025622239</v>
      </c>
      <c r="I15" s="89">
        <f t="shared" si="13"/>
        <v>63393.143372553022</v>
      </c>
      <c r="J15" s="89">
        <f t="shared" si="13"/>
        <v>67483.244939114375</v>
      </c>
      <c r="K15" s="89">
        <f t="shared" si="13"/>
        <v>71541.660979792301</v>
      </c>
      <c r="L15" s="89">
        <f t="shared" si="13"/>
        <v>75868.744016465731</v>
      </c>
      <c r="M15" s="89">
        <f t="shared" si="13"/>
        <v>80483.491029197176</v>
      </c>
      <c r="N15" s="89">
        <f t="shared" si="13"/>
        <v>85406.297319938545</v>
      </c>
      <c r="O15" s="89">
        <f t="shared" si="13"/>
        <v>90659.061871939164</v>
      </c>
      <c r="P15" s="89">
        <f t="shared" si="13"/>
        <v>96265.30075930577</v>
      </c>
      <c r="Q15" s="89">
        <f t="shared" si="13"/>
        <v>102250.26922759315</v>
      </c>
      <c r="R15" s="89">
        <f t="shared" si="13"/>
        <v>108641.0931145529</v>
      </c>
      <c r="S15" s="89">
        <f t="shared" si="13"/>
        <v>115466.91033219505</v>
      </c>
      <c r="T15" s="89">
        <f t="shared" si="13"/>
        <v>122759.02318742173</v>
      </c>
    </row>
    <row r="16" spans="1:20" x14ac:dyDescent="0.3">
      <c r="B16" s="127" t="s">
        <v>3</v>
      </c>
      <c r="C16" s="89">
        <f>'Estado de resultados'!H33</f>
        <v>140756.11559999999</v>
      </c>
      <c r="D16" s="89">
        <f>'Estado de resultados'!I33</f>
        <v>157994.03700000001</v>
      </c>
      <c r="E16" s="89">
        <f>'Estado de resultados'!J33</f>
        <v>200026</v>
      </c>
      <c r="F16" s="89">
        <f>F17*0.8</f>
        <v>210363.35261303151</v>
      </c>
      <c r="G16" s="89">
        <f t="shared" ref="G16:T16" si="14">G17*0.8</f>
        <v>223851.6625708731</v>
      </c>
      <c r="H16" s="89">
        <f t="shared" si="14"/>
        <v>238234.18010248907</v>
      </c>
      <c r="I16" s="89">
        <f t="shared" si="14"/>
        <v>253572.57349021218</v>
      </c>
      <c r="J16" s="89">
        <f t="shared" si="14"/>
        <v>269932.97975645761</v>
      </c>
      <c r="K16" s="89">
        <f t="shared" si="14"/>
        <v>286166.64391916938</v>
      </c>
      <c r="L16" s="89">
        <f t="shared" si="14"/>
        <v>303474.9760658631</v>
      </c>
      <c r="M16" s="89">
        <f t="shared" si="14"/>
        <v>321933.96411678882</v>
      </c>
      <c r="N16" s="89">
        <f t="shared" si="14"/>
        <v>341625.18927975441</v>
      </c>
      <c r="O16" s="89">
        <f t="shared" si="14"/>
        <v>362636.24748775683</v>
      </c>
      <c r="P16" s="89">
        <f t="shared" si="14"/>
        <v>385061.20303722314</v>
      </c>
      <c r="Q16" s="89">
        <f t="shared" si="14"/>
        <v>409001.07691037271</v>
      </c>
      <c r="R16" s="89">
        <f t="shared" si="14"/>
        <v>434564.37245821173</v>
      </c>
      <c r="S16" s="89">
        <f t="shared" si="14"/>
        <v>461867.64132878039</v>
      </c>
      <c r="T16" s="89">
        <f t="shared" si="14"/>
        <v>491036.09274968691</v>
      </c>
    </row>
    <row r="17" spans="2:20" x14ac:dyDescent="0.3">
      <c r="B17" s="125" t="s">
        <v>246</v>
      </c>
      <c r="C17" s="98">
        <f>SUM(C15:C16)</f>
        <v>172199.7378</v>
      </c>
      <c r="D17" s="98">
        <f t="shared" ref="D17:E17" si="15">SUM(D15:D16)</f>
        <v>193794.58980000002</v>
      </c>
      <c r="E17" s="98">
        <f t="shared" si="15"/>
        <v>245580</v>
      </c>
      <c r="F17" s="98">
        <f>F9*(1-$H$2)</f>
        <v>262954.19076628936</v>
      </c>
      <c r="G17" s="98">
        <f t="shared" ref="G17:T17" si="16">G9*(1-$H$2)</f>
        <v>279814.57821359136</v>
      </c>
      <c r="H17" s="98">
        <f t="shared" si="16"/>
        <v>297792.72512811131</v>
      </c>
      <c r="I17" s="98">
        <f t="shared" si="16"/>
        <v>316965.7168627652</v>
      </c>
      <c r="J17" s="98">
        <f t="shared" si="16"/>
        <v>337416.22469557199</v>
      </c>
      <c r="K17" s="98">
        <f t="shared" si="16"/>
        <v>357708.30489896168</v>
      </c>
      <c r="L17" s="98">
        <f t="shared" si="16"/>
        <v>379343.72008232883</v>
      </c>
      <c r="M17" s="98">
        <f t="shared" si="16"/>
        <v>402417.45514598599</v>
      </c>
      <c r="N17" s="98">
        <f t="shared" si="16"/>
        <v>427031.48659969296</v>
      </c>
      <c r="O17" s="98">
        <f t="shared" si="16"/>
        <v>453295.309359696</v>
      </c>
      <c r="P17" s="98">
        <f t="shared" si="16"/>
        <v>481326.50379652891</v>
      </c>
      <c r="Q17" s="98">
        <f t="shared" si="16"/>
        <v>511251.34613796585</v>
      </c>
      <c r="R17" s="98">
        <f t="shared" si="16"/>
        <v>543205.46557276463</v>
      </c>
      <c r="S17" s="98">
        <f t="shared" si="16"/>
        <v>577334.55166097544</v>
      </c>
      <c r="T17" s="98">
        <f t="shared" si="16"/>
        <v>613795.11593710864</v>
      </c>
    </row>
    <row r="18" spans="2:20" x14ac:dyDescent="0.3">
      <c r="F18" s="135"/>
    </row>
    <row r="21" spans="2:20" x14ac:dyDescent="0.3">
      <c r="C21" s="174" t="s">
        <v>255</v>
      </c>
      <c r="D21" s="175">
        <f>620*10^6</f>
        <v>620000000</v>
      </c>
      <c r="F21" s="174" t="s">
        <v>254</v>
      </c>
      <c r="G21" s="175">
        <f>200*10^6</f>
        <v>200000000</v>
      </c>
    </row>
    <row r="22" spans="2:20" x14ac:dyDescent="0.3">
      <c r="C22" s="169" t="s">
        <v>173</v>
      </c>
      <c r="D22" s="170">
        <v>5</v>
      </c>
      <c r="F22" s="169" t="s">
        <v>173</v>
      </c>
      <c r="G22" s="170">
        <v>4</v>
      </c>
    </row>
    <row r="23" spans="2:20" x14ac:dyDescent="0.3">
      <c r="C23" s="169" t="s">
        <v>256</v>
      </c>
      <c r="D23" s="171">
        <v>1.55E-2</v>
      </c>
      <c r="F23" s="169" t="s">
        <v>256</v>
      </c>
      <c r="G23" s="171">
        <v>1.2500000000000001E-2</v>
      </c>
    </row>
    <row r="24" spans="2:20" x14ac:dyDescent="0.3">
      <c r="C24" s="169" t="s">
        <v>257</v>
      </c>
      <c r="D24" s="171">
        <f>D23+D27</f>
        <v>7.0500000000000007E-2</v>
      </c>
      <c r="E24" s="134"/>
      <c r="F24" s="169" t="s">
        <v>257</v>
      </c>
      <c r="G24" s="171">
        <f>G23+D27</f>
        <v>6.7500000000000004E-2</v>
      </c>
    </row>
    <row r="25" spans="2:20" x14ac:dyDescent="0.3">
      <c r="C25" s="172" t="s">
        <v>258</v>
      </c>
      <c r="D25" s="173">
        <f>PMT(D24,D22,-D21)</f>
        <v>151414723.09216169</v>
      </c>
      <c r="F25" s="172" t="s">
        <v>258</v>
      </c>
      <c r="G25" s="173">
        <f>PMT(G24,G22,-G21)</f>
        <v>58712733.913598038</v>
      </c>
    </row>
    <row r="27" spans="2:20" x14ac:dyDescent="0.3">
      <c r="C27" s="174" t="s">
        <v>253</v>
      </c>
      <c r="D27" s="176">
        <v>5.5E-2</v>
      </c>
      <c r="E27" s="142"/>
      <c r="F27" s="174" t="s">
        <v>262</v>
      </c>
      <c r="G27" s="177">
        <v>19.361499999999999</v>
      </c>
    </row>
    <row r="29" spans="2:20" ht="17.399999999999999" x14ac:dyDescent="0.3">
      <c r="B29" s="144" t="s">
        <v>259</v>
      </c>
      <c r="C29" s="87"/>
      <c r="D29" s="87"/>
      <c r="E29" s="87"/>
      <c r="F29" s="87"/>
      <c r="G29" s="87"/>
    </row>
    <row r="30" spans="2:20" x14ac:dyDescent="0.3">
      <c r="B30" s="85" t="s">
        <v>205</v>
      </c>
      <c r="C30" s="133">
        <f t="shared" ref="C30:G31" si="17">E4</f>
        <v>0</v>
      </c>
      <c r="D30" s="87">
        <f t="shared" si="17"/>
        <v>1</v>
      </c>
      <c r="E30" s="87">
        <f t="shared" si="17"/>
        <v>2</v>
      </c>
      <c r="F30" s="87">
        <f t="shared" si="17"/>
        <v>3</v>
      </c>
      <c r="G30" s="87">
        <f t="shared" si="17"/>
        <v>4</v>
      </c>
    </row>
    <row r="31" spans="2:20" x14ac:dyDescent="0.3">
      <c r="B31" s="128" t="s">
        <v>260</v>
      </c>
      <c r="C31" s="133">
        <f t="shared" si="17"/>
        <v>2022</v>
      </c>
      <c r="D31" s="87">
        <f t="shared" si="17"/>
        <v>2023</v>
      </c>
      <c r="E31" s="87">
        <f t="shared" si="17"/>
        <v>2024</v>
      </c>
      <c r="F31" s="87">
        <f t="shared" si="17"/>
        <v>2025</v>
      </c>
      <c r="G31" s="87">
        <f t="shared" si="17"/>
        <v>2026</v>
      </c>
    </row>
    <row r="32" spans="2:20" x14ac:dyDescent="0.3">
      <c r="B32" s="126" t="s">
        <v>248</v>
      </c>
      <c r="C32" s="134">
        <f>D21</f>
        <v>620000000</v>
      </c>
      <c r="D32" s="134">
        <f>C36</f>
        <v>498710000</v>
      </c>
      <c r="E32" s="134">
        <f>D36</f>
        <v>382454331.90783834</v>
      </c>
      <c r="F32" s="134">
        <f t="shared" ref="F32:G32" si="18">E36</f>
        <v>258002639.21517926</v>
      </c>
      <c r="G32" s="134">
        <f t="shared" si="18"/>
        <v>124777102.18768772</v>
      </c>
    </row>
    <row r="33" spans="2:18" x14ac:dyDescent="0.3">
      <c r="B33" s="126" t="s">
        <v>249</v>
      </c>
      <c r="C33" s="134">
        <f>165*10^6</f>
        <v>165000000</v>
      </c>
      <c r="D33" s="134">
        <f>$D$25</f>
        <v>151414723.09216169</v>
      </c>
      <c r="E33" s="134">
        <f>$D$25</f>
        <v>151414723.09216169</v>
      </c>
      <c r="F33" s="134">
        <f>$D$25</f>
        <v>151414723.09216169</v>
      </c>
      <c r="G33" s="134">
        <f>G32+G34</f>
        <v>133573887.8919197</v>
      </c>
      <c r="I33" s="134"/>
    </row>
    <row r="34" spans="2:18" x14ac:dyDescent="0.3">
      <c r="B34" s="126" t="s">
        <v>250</v>
      </c>
      <c r="C34" s="134">
        <f>C32*$D$24</f>
        <v>43710000.000000007</v>
      </c>
      <c r="D34" s="134">
        <f>D32*$D$24</f>
        <v>35159055</v>
      </c>
      <c r="E34" s="134">
        <f>E32*$D$24</f>
        <v>26963030.399502605</v>
      </c>
      <c r="F34" s="134">
        <f>F32*$D$24</f>
        <v>18189186.064670142</v>
      </c>
      <c r="G34" s="134">
        <f>G32*$D$24</f>
        <v>8796785.7042319849</v>
      </c>
    </row>
    <row r="35" spans="2:18" x14ac:dyDescent="0.3">
      <c r="B35" s="126" t="s">
        <v>251</v>
      </c>
      <c r="C35" s="134">
        <f>C33-C34</f>
        <v>121290000</v>
      </c>
      <c r="D35" s="134">
        <f>D33-D34</f>
        <v>116255668.09216169</v>
      </c>
      <c r="E35" s="134">
        <f>E33-E34</f>
        <v>124451692.69265908</v>
      </c>
      <c r="F35" s="134">
        <f t="shared" ref="F35:G35" si="19">F33-F34</f>
        <v>133225537.02749154</v>
      </c>
      <c r="G35" s="134">
        <f t="shared" si="19"/>
        <v>124777102.18768772</v>
      </c>
      <c r="I35" s="134"/>
    </row>
    <row r="36" spans="2:18" s="116" customFormat="1" x14ac:dyDescent="0.3">
      <c r="B36" s="130" t="s">
        <v>252</v>
      </c>
      <c r="C36" s="138">
        <f>C32-C35</f>
        <v>498710000</v>
      </c>
      <c r="D36" s="138">
        <f>D32-D35</f>
        <v>382454331.90783834</v>
      </c>
      <c r="E36" s="138">
        <f>E32-E35</f>
        <v>258002639.21517926</v>
      </c>
      <c r="F36" s="138">
        <f t="shared" ref="F36:G36" si="20">F32-F35</f>
        <v>124777102.18768772</v>
      </c>
      <c r="G36" s="138">
        <f t="shared" si="20"/>
        <v>0</v>
      </c>
      <c r="I36" s="134"/>
    </row>
    <row r="37" spans="2:18" x14ac:dyDescent="0.3">
      <c r="B37" s="128" t="s">
        <v>261</v>
      </c>
      <c r="C37" s="87">
        <f>C31</f>
        <v>2022</v>
      </c>
      <c r="D37" s="87">
        <f t="shared" ref="D37:G37" si="21">D31</f>
        <v>2023</v>
      </c>
      <c r="E37" s="87">
        <f t="shared" si="21"/>
        <v>2024</v>
      </c>
      <c r="F37" s="87">
        <f t="shared" si="21"/>
        <v>2025</v>
      </c>
      <c r="G37" s="87">
        <f t="shared" si="21"/>
        <v>2026</v>
      </c>
    </row>
    <row r="38" spans="2:18" x14ac:dyDescent="0.3">
      <c r="B38" s="126" t="s">
        <v>248</v>
      </c>
      <c r="C38" s="134">
        <f>G21</f>
        <v>200000000</v>
      </c>
      <c r="D38" s="134">
        <f>C42</f>
        <v>154787266.08640197</v>
      </c>
      <c r="E38" s="134">
        <f t="shared" ref="E38:F38" si="22">D42</f>
        <v>106522672.63363606</v>
      </c>
      <c r="F38" s="134">
        <f t="shared" si="22"/>
        <v>55000219.122808456</v>
      </c>
      <c r="G38" s="134">
        <v>0</v>
      </c>
    </row>
    <row r="39" spans="2:18" x14ac:dyDescent="0.3">
      <c r="B39" s="126" t="s">
        <v>249</v>
      </c>
      <c r="C39" s="134">
        <f>$G$25</f>
        <v>58712733.913598038</v>
      </c>
      <c r="D39" s="134">
        <f>$G$25</f>
        <v>58712733.913598038</v>
      </c>
      <c r="E39" s="134">
        <f>$G$25</f>
        <v>58712733.913598038</v>
      </c>
      <c r="F39" s="134">
        <f>$G$25</f>
        <v>58712733.913598038</v>
      </c>
      <c r="G39" s="134">
        <v>0</v>
      </c>
    </row>
    <row r="40" spans="2:18" x14ac:dyDescent="0.3">
      <c r="B40" s="126" t="s">
        <v>250</v>
      </c>
      <c r="C40" s="134">
        <f>C38*$G$24</f>
        <v>13500000</v>
      </c>
      <c r="D40" s="134">
        <f>D38*$G$24</f>
        <v>10448140.460832134</v>
      </c>
      <c r="E40" s="134">
        <f>E38*$G$24</f>
        <v>7190280.4027704345</v>
      </c>
      <c r="F40" s="134">
        <f>F38*$G$24</f>
        <v>3712514.7907895711</v>
      </c>
      <c r="G40" s="134">
        <v>0</v>
      </c>
    </row>
    <row r="41" spans="2:18" x14ac:dyDescent="0.3">
      <c r="B41" s="126" t="s">
        <v>251</v>
      </c>
      <c r="C41" s="134">
        <f>C39-C40</f>
        <v>45212733.913598038</v>
      </c>
      <c r="D41" s="134">
        <f>D39-D40</f>
        <v>48264593.452765904</v>
      </c>
      <c r="E41" s="134">
        <f t="shared" ref="E41:F41" si="23">E39-E40</f>
        <v>51522453.510827601</v>
      </c>
      <c r="F41" s="134">
        <f t="shared" si="23"/>
        <v>55000219.122808464</v>
      </c>
      <c r="G41" s="134">
        <v>0</v>
      </c>
    </row>
    <row r="42" spans="2:18" s="116" customFormat="1" x14ac:dyDescent="0.3">
      <c r="B42" s="130" t="s">
        <v>252</v>
      </c>
      <c r="C42" s="138">
        <f>C38-C41</f>
        <v>154787266.08640197</v>
      </c>
      <c r="D42" s="138">
        <f>D38-D41</f>
        <v>106522672.63363606</v>
      </c>
      <c r="E42" s="138">
        <f t="shared" ref="E42:F42" si="24">E38-E41</f>
        <v>55000219.122808456</v>
      </c>
      <c r="F42" s="138">
        <f t="shared" si="24"/>
        <v>0</v>
      </c>
      <c r="G42" s="138">
        <v>0</v>
      </c>
    </row>
    <row r="43" spans="2:18" s="116" customFormat="1" x14ac:dyDescent="0.3">
      <c r="B43" s="99" t="s">
        <v>268</v>
      </c>
      <c r="C43" s="138">
        <f>(C36+C42)/(10^6)</f>
        <v>653.49726608640196</v>
      </c>
      <c r="D43" s="138">
        <f t="shared" ref="D43:G43" si="25">(D36+D42)/(10^6)</f>
        <v>488.9770045414744</v>
      </c>
      <c r="E43" s="138">
        <f t="shared" si="25"/>
        <v>313.00285833798773</v>
      </c>
      <c r="F43" s="138">
        <f t="shared" si="25"/>
        <v>124.77710218768773</v>
      </c>
      <c r="G43" s="138">
        <f t="shared" si="25"/>
        <v>0</v>
      </c>
    </row>
    <row r="44" spans="2:18" x14ac:dyDescent="0.3">
      <c r="B44" s="99" t="s">
        <v>267</v>
      </c>
      <c r="C44" s="138">
        <f>C43*$G$27</f>
        <v>12652.687317331871</v>
      </c>
      <c r="D44" s="138">
        <f>D43*$G$27</f>
        <v>9467.3282734297572</v>
      </c>
      <c r="E44" s="138">
        <f>E43*$G$27</f>
        <v>6060.204841710949</v>
      </c>
      <c r="F44" s="138">
        <f>F43*$G$27</f>
        <v>2415.871864006916</v>
      </c>
      <c r="G44" s="138">
        <f>G43*$G$27</f>
        <v>0</v>
      </c>
    </row>
    <row r="46" spans="2:18" ht="17.399999999999999" x14ac:dyDescent="0.3">
      <c r="B46" s="144" t="s">
        <v>180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</row>
    <row r="47" spans="2:18" x14ac:dyDescent="0.3">
      <c r="B47" s="87"/>
      <c r="C47" s="87">
        <f t="shared" ref="C47:R48" si="26">E4</f>
        <v>0</v>
      </c>
      <c r="D47" s="87">
        <f t="shared" si="26"/>
        <v>1</v>
      </c>
      <c r="E47" s="87">
        <f t="shared" si="26"/>
        <v>2</v>
      </c>
      <c r="F47" s="87">
        <f t="shared" si="26"/>
        <v>3</v>
      </c>
      <c r="G47" s="87">
        <f t="shared" si="26"/>
        <v>4</v>
      </c>
      <c r="H47" s="87">
        <f t="shared" si="26"/>
        <v>5</v>
      </c>
      <c r="I47" s="87">
        <f t="shared" si="26"/>
        <v>6</v>
      </c>
      <c r="J47" s="87">
        <f t="shared" si="26"/>
        <v>7</v>
      </c>
      <c r="K47" s="87">
        <f t="shared" si="26"/>
        <v>8</v>
      </c>
      <c r="L47" s="87">
        <f t="shared" si="26"/>
        <v>9</v>
      </c>
      <c r="M47" s="87">
        <f t="shared" si="26"/>
        <v>10</v>
      </c>
      <c r="N47" s="87">
        <f t="shared" si="26"/>
        <v>11</v>
      </c>
      <c r="O47" s="87">
        <f t="shared" si="26"/>
        <v>12</v>
      </c>
      <c r="P47" s="87">
        <f t="shared" si="26"/>
        <v>13</v>
      </c>
      <c r="Q47" s="87">
        <f t="shared" si="26"/>
        <v>14</v>
      </c>
      <c r="R47" s="87">
        <f t="shared" si="26"/>
        <v>15</v>
      </c>
    </row>
    <row r="48" spans="2:18" x14ac:dyDescent="0.3">
      <c r="B48" s="85" t="s">
        <v>205</v>
      </c>
      <c r="C48" s="87">
        <f t="shared" si="26"/>
        <v>2022</v>
      </c>
      <c r="D48" s="87">
        <f t="shared" si="26"/>
        <v>2023</v>
      </c>
      <c r="E48" s="87">
        <f t="shared" si="26"/>
        <v>2024</v>
      </c>
      <c r="F48" s="87">
        <f t="shared" si="26"/>
        <v>2025</v>
      </c>
      <c r="G48" s="87">
        <f t="shared" si="26"/>
        <v>2026</v>
      </c>
      <c r="H48" s="87">
        <f t="shared" si="26"/>
        <v>2027</v>
      </c>
      <c r="I48" s="87">
        <f t="shared" si="26"/>
        <v>2028</v>
      </c>
      <c r="J48" s="87">
        <f t="shared" si="26"/>
        <v>2029</v>
      </c>
      <c r="K48" s="87">
        <f t="shared" si="26"/>
        <v>2030</v>
      </c>
      <c r="L48" s="87">
        <f t="shared" si="26"/>
        <v>2031</v>
      </c>
      <c r="M48" s="87">
        <f t="shared" si="26"/>
        <v>2032</v>
      </c>
      <c r="N48" s="87">
        <f t="shared" si="26"/>
        <v>2033</v>
      </c>
      <c r="O48" s="87">
        <f t="shared" si="26"/>
        <v>2034</v>
      </c>
      <c r="P48" s="87">
        <f t="shared" si="26"/>
        <v>2035</v>
      </c>
      <c r="Q48" s="87">
        <f t="shared" si="26"/>
        <v>2036</v>
      </c>
      <c r="R48" s="87">
        <f t="shared" si="26"/>
        <v>2037</v>
      </c>
    </row>
    <row r="49" spans="1:20" x14ac:dyDescent="0.3">
      <c r="B49" s="127" t="s">
        <v>179</v>
      </c>
      <c r="C49" s="89">
        <f>'Estado de resultados'!J43</f>
        <v>8722</v>
      </c>
      <c r="D49" s="89">
        <f>'Modelo financiero'!K15</f>
        <v>8824.2152563725685</v>
      </c>
      <c r="E49" s="89">
        <f>'Modelo financiero'!L15</f>
        <v>9655.5926838758023</v>
      </c>
      <c r="F49" s="89">
        <f>'Modelo financiero'!M15</f>
        <v>10542.086281949058</v>
      </c>
      <c r="G49" s="89">
        <f>'Modelo financiero'!N15</f>
        <v>11487.497091500016</v>
      </c>
      <c r="H49" s="89">
        <f>'Modelo financiero'!O15</f>
        <v>12495.901592660739</v>
      </c>
      <c r="I49" s="89">
        <f>'Modelo financiero'!P15</f>
        <v>13496.494105194099</v>
      </c>
      <c r="J49" s="89">
        <f>'Modelo financiero'!Q15</f>
        <v>14563.325806086577</v>
      </c>
      <c r="K49" s="89">
        <f>'Modelo financiero'!R15</f>
        <v>15701.080354140184</v>
      </c>
      <c r="L49" s="89">
        <f>'Modelo financiero'!S15</f>
        <v>16914.786160986274</v>
      </c>
      <c r="M49" s="89">
        <f>'Modelo financiero'!T15</f>
        <v>18209.842367189049</v>
      </c>
      <c r="N49" s="89">
        <f>'Modelo financiero'!U15</f>
        <v>19592.046803093908</v>
      </c>
      <c r="O49" s="89">
        <f>'Modelo financiero'!V15</f>
        <v>21067.626087497847</v>
      </c>
      <c r="P49" s="89">
        <f>'Modelo financiero'!W15</f>
        <v>22643.268029111889</v>
      </c>
      <c r="Q49" s="89">
        <f>'Modelo financiero'!X15</f>
        <v>24326.156508616739</v>
      </c>
      <c r="R49" s="89">
        <f>'Modelo financiero'!Y15</f>
        <v>26124.009032940361</v>
      </c>
    </row>
    <row r="50" spans="1:20" ht="27.6" x14ac:dyDescent="0.3">
      <c r="B50" s="129" t="s">
        <v>263</v>
      </c>
      <c r="C50" s="89">
        <f>IF(C49&gt;0,C49*10%,0)</f>
        <v>872.2</v>
      </c>
      <c r="D50" s="89">
        <f t="shared" ref="D50:R50" si="27">IF(D49&gt;0,D49*10%,0)</f>
        <v>882.42152563725688</v>
      </c>
      <c r="E50" s="89">
        <f t="shared" si="27"/>
        <v>965.55926838758023</v>
      </c>
      <c r="F50" s="89">
        <f t="shared" si="27"/>
        <v>1054.2086281949057</v>
      </c>
      <c r="G50" s="89">
        <f t="shared" si="27"/>
        <v>1148.7497091500015</v>
      </c>
      <c r="H50" s="89">
        <f t="shared" si="27"/>
        <v>1249.5901592660739</v>
      </c>
      <c r="I50" s="89">
        <f t="shared" si="27"/>
        <v>1349.6494105194099</v>
      </c>
      <c r="J50" s="89">
        <f t="shared" si="27"/>
        <v>1456.3325806086577</v>
      </c>
      <c r="K50" s="89">
        <f t="shared" si="27"/>
        <v>1570.1080354140186</v>
      </c>
      <c r="L50" s="89">
        <f t="shared" si="27"/>
        <v>1691.4786160986275</v>
      </c>
      <c r="M50" s="89">
        <f t="shared" si="27"/>
        <v>1820.9842367189049</v>
      </c>
      <c r="N50" s="89">
        <f t="shared" si="27"/>
        <v>1959.2046803093908</v>
      </c>
      <c r="O50" s="89">
        <f t="shared" si="27"/>
        <v>2106.7626087497847</v>
      </c>
      <c r="P50" s="89">
        <f t="shared" si="27"/>
        <v>2264.3268029111891</v>
      </c>
      <c r="Q50" s="89">
        <f t="shared" si="27"/>
        <v>2432.6156508616741</v>
      </c>
      <c r="R50" s="89">
        <f t="shared" si="27"/>
        <v>2612.4009032940362</v>
      </c>
    </row>
    <row r="51" spans="1:20" x14ac:dyDescent="0.3">
      <c r="B51" s="127" t="s">
        <v>222</v>
      </c>
      <c r="C51" s="89"/>
      <c r="D51" s="89">
        <f>D49-C50</f>
        <v>7952.0152563725687</v>
      </c>
      <c r="E51" s="89">
        <f t="shared" ref="E51:R51" si="28">E49-D50</f>
        <v>8773.1711582385451</v>
      </c>
      <c r="F51" s="89">
        <f t="shared" si="28"/>
        <v>9576.5270135614774</v>
      </c>
      <c r="G51" s="89">
        <f t="shared" si="28"/>
        <v>10433.288463305111</v>
      </c>
      <c r="H51" s="89">
        <f t="shared" si="28"/>
        <v>11347.151883510738</v>
      </c>
      <c r="I51" s="89">
        <f t="shared" si="28"/>
        <v>12246.903945928025</v>
      </c>
      <c r="J51" s="89">
        <f t="shared" si="28"/>
        <v>13213.676395567167</v>
      </c>
      <c r="K51" s="89">
        <f t="shared" si="28"/>
        <v>14244.747773531526</v>
      </c>
      <c r="L51" s="89">
        <f t="shared" si="28"/>
        <v>15344.678125572256</v>
      </c>
      <c r="M51" s="89">
        <f t="shared" si="28"/>
        <v>16518.363751090423</v>
      </c>
      <c r="N51" s="89">
        <f t="shared" si="28"/>
        <v>17771.062566375003</v>
      </c>
      <c r="O51" s="89">
        <f t="shared" si="28"/>
        <v>19108.421407188456</v>
      </c>
      <c r="P51" s="89">
        <f t="shared" si="28"/>
        <v>20536.505420362104</v>
      </c>
      <c r="Q51" s="89">
        <f t="shared" si="28"/>
        <v>22061.82970570555</v>
      </c>
      <c r="R51" s="89">
        <f t="shared" si="28"/>
        <v>23691.393382078688</v>
      </c>
    </row>
    <row r="52" spans="1:20" x14ac:dyDescent="0.3">
      <c r="B52" s="127" t="s">
        <v>247</v>
      </c>
      <c r="C52" s="89"/>
      <c r="D52" s="89">
        <f>IF(D51&gt;0,D51*30%,0)</f>
        <v>2385.6045769117704</v>
      </c>
      <c r="E52" s="89">
        <f t="shared" ref="E52:R52" si="29">IF(E51&gt;0,E51*30%,0)</f>
        <v>2631.9513474715636</v>
      </c>
      <c r="F52" s="89">
        <f t="shared" si="29"/>
        <v>2872.9581040684429</v>
      </c>
      <c r="G52" s="89">
        <f t="shared" si="29"/>
        <v>3129.9865389915331</v>
      </c>
      <c r="H52" s="89">
        <f t="shared" si="29"/>
        <v>3404.1455650532212</v>
      </c>
      <c r="I52" s="89">
        <f t="shared" si="29"/>
        <v>3674.0711837784074</v>
      </c>
      <c r="J52" s="89">
        <f t="shared" si="29"/>
        <v>3964.1029186701498</v>
      </c>
      <c r="K52" s="89">
        <f t="shared" si="29"/>
        <v>4273.4243320594578</v>
      </c>
      <c r="L52" s="89">
        <f t="shared" si="29"/>
        <v>4603.4034376716763</v>
      </c>
      <c r="M52" s="89">
        <f t="shared" si="29"/>
        <v>4955.5091253271266</v>
      </c>
      <c r="N52" s="89">
        <f t="shared" si="29"/>
        <v>5331.318769912501</v>
      </c>
      <c r="O52" s="89">
        <f t="shared" si="29"/>
        <v>5732.5264221565367</v>
      </c>
      <c r="P52" s="89">
        <f t="shared" si="29"/>
        <v>6160.951626108631</v>
      </c>
      <c r="Q52" s="89">
        <f t="shared" si="29"/>
        <v>6618.5489117116649</v>
      </c>
      <c r="R52" s="89">
        <f t="shared" si="29"/>
        <v>7107.4180146236058</v>
      </c>
    </row>
    <row r="53" spans="1:20" s="116" customFormat="1" x14ac:dyDescent="0.3">
      <c r="B53" s="99" t="s">
        <v>223</v>
      </c>
      <c r="C53" s="98"/>
      <c r="D53" s="98">
        <f>D50+D52</f>
        <v>3268.0261025490272</v>
      </c>
      <c r="E53" s="98">
        <f t="shared" ref="E53:R53" si="30">E50+E52</f>
        <v>3597.5106158591439</v>
      </c>
      <c r="F53" s="98">
        <f t="shared" si="30"/>
        <v>3927.1667322633484</v>
      </c>
      <c r="G53" s="98">
        <f t="shared" si="30"/>
        <v>4278.7362481415348</v>
      </c>
      <c r="H53" s="98">
        <f t="shared" si="30"/>
        <v>4653.7357243192946</v>
      </c>
      <c r="I53" s="98">
        <f t="shared" si="30"/>
        <v>5023.7205942978171</v>
      </c>
      <c r="J53" s="98">
        <f t="shared" si="30"/>
        <v>5420.4354992788076</v>
      </c>
      <c r="K53" s="98">
        <f t="shared" si="30"/>
        <v>5843.5323674734764</v>
      </c>
      <c r="L53" s="98">
        <f t="shared" si="30"/>
        <v>6294.8820537703041</v>
      </c>
      <c r="M53" s="98">
        <f t="shared" si="30"/>
        <v>6776.4933620460315</v>
      </c>
      <c r="N53" s="98">
        <f t="shared" si="30"/>
        <v>7290.5234502218918</v>
      </c>
      <c r="O53" s="98">
        <f t="shared" si="30"/>
        <v>7839.2890309063214</v>
      </c>
      <c r="P53" s="98">
        <f t="shared" si="30"/>
        <v>8425.2784290198197</v>
      </c>
      <c r="Q53" s="98">
        <f t="shared" si="30"/>
        <v>9051.1645625733399</v>
      </c>
      <c r="R53" s="98">
        <f t="shared" si="30"/>
        <v>9719.8189179176425</v>
      </c>
      <c r="S53" s="115"/>
      <c r="T53" s="115"/>
    </row>
    <row r="56" spans="1:20" x14ac:dyDescent="0.3">
      <c r="C56" s="137"/>
    </row>
    <row r="58" spans="1:20" ht="17.399999999999999" x14ac:dyDescent="0.3">
      <c r="B58" s="144" t="s">
        <v>183</v>
      </c>
      <c r="C58" s="87">
        <f>C47</f>
        <v>0</v>
      </c>
      <c r="D58" s="87">
        <f t="shared" ref="D58" si="31">D47</f>
        <v>1</v>
      </c>
      <c r="E58" s="87">
        <f t="shared" ref="E58:R58" si="32">E47</f>
        <v>2</v>
      </c>
      <c r="F58" s="87">
        <f t="shared" si="32"/>
        <v>3</v>
      </c>
      <c r="G58" s="87">
        <f t="shared" si="32"/>
        <v>4</v>
      </c>
      <c r="H58" s="87">
        <f t="shared" si="32"/>
        <v>5</v>
      </c>
      <c r="I58" s="87">
        <f t="shared" si="32"/>
        <v>6</v>
      </c>
      <c r="J58" s="87">
        <f t="shared" si="32"/>
        <v>7</v>
      </c>
      <c r="K58" s="87">
        <f t="shared" si="32"/>
        <v>8</v>
      </c>
      <c r="L58" s="87">
        <f t="shared" si="32"/>
        <v>9</v>
      </c>
      <c r="M58" s="87">
        <f t="shared" si="32"/>
        <v>10</v>
      </c>
      <c r="N58" s="87">
        <f t="shared" si="32"/>
        <v>11</v>
      </c>
      <c r="O58" s="87">
        <f t="shared" si="32"/>
        <v>12</v>
      </c>
      <c r="P58" s="87">
        <f t="shared" si="32"/>
        <v>13</v>
      </c>
      <c r="Q58" s="87">
        <f t="shared" si="32"/>
        <v>14</v>
      </c>
      <c r="R58" s="87">
        <f t="shared" si="32"/>
        <v>15</v>
      </c>
    </row>
    <row r="59" spans="1:20" x14ac:dyDescent="0.3">
      <c r="B59" s="85" t="s">
        <v>205</v>
      </c>
      <c r="C59" s="87">
        <f>C48</f>
        <v>2022</v>
      </c>
      <c r="D59" s="87">
        <f t="shared" ref="D59" si="33">D48</f>
        <v>2023</v>
      </c>
      <c r="E59" s="87">
        <f t="shared" ref="E59:R59" si="34">E48</f>
        <v>2024</v>
      </c>
      <c r="F59" s="87">
        <f t="shared" si="34"/>
        <v>2025</v>
      </c>
      <c r="G59" s="87">
        <f t="shared" si="34"/>
        <v>2026</v>
      </c>
      <c r="H59" s="87">
        <f t="shared" si="34"/>
        <v>2027</v>
      </c>
      <c r="I59" s="87">
        <f t="shared" si="34"/>
        <v>2028</v>
      </c>
      <c r="J59" s="87">
        <f t="shared" si="34"/>
        <v>2029</v>
      </c>
      <c r="K59" s="87">
        <f t="shared" si="34"/>
        <v>2030</v>
      </c>
      <c r="L59" s="87">
        <f t="shared" si="34"/>
        <v>2031</v>
      </c>
      <c r="M59" s="87">
        <f t="shared" si="34"/>
        <v>2032</v>
      </c>
      <c r="N59" s="87">
        <f t="shared" si="34"/>
        <v>2033</v>
      </c>
      <c r="O59" s="87">
        <f t="shared" si="34"/>
        <v>2034</v>
      </c>
      <c r="P59" s="87">
        <f t="shared" si="34"/>
        <v>2035</v>
      </c>
      <c r="Q59" s="87">
        <f t="shared" si="34"/>
        <v>2036</v>
      </c>
      <c r="R59" s="87">
        <f t="shared" si="34"/>
        <v>2037</v>
      </c>
    </row>
    <row r="60" spans="1:20" x14ac:dyDescent="0.3">
      <c r="B60" s="127" t="s">
        <v>175</v>
      </c>
      <c r="C60" s="134">
        <f>E9</f>
        <v>259326</v>
      </c>
      <c r="D60" s="134">
        <f>F9</f>
        <v>275920.33281692443</v>
      </c>
      <c r="E60" s="134">
        <f t="shared" ref="E60" si="35">G9</f>
        <v>293612.09769172966</v>
      </c>
      <c r="F60" s="134">
        <f t="shared" ref="F60" si="36">H9</f>
        <v>312476.73820432287</v>
      </c>
      <c r="G60" s="134">
        <f t="shared" ref="G60" si="37">I9</f>
        <v>332595.14074852772</v>
      </c>
      <c r="H60" s="134">
        <f t="shared" ref="H60" si="38">J9</f>
        <v>354054.05308249523</v>
      </c>
      <c r="I60" s="134">
        <f t="shared" ref="I60" si="39">K9</f>
        <v>375346.72579841828</v>
      </c>
      <c r="J60" s="134">
        <f t="shared" ref="J60" si="40">L9</f>
        <v>398048.97268267791</v>
      </c>
      <c r="K60" s="134">
        <f t="shared" ref="K60" si="41">M9</f>
        <v>422260.46229438868</v>
      </c>
      <c r="L60" s="134">
        <f t="shared" ref="L60" si="42">N9</f>
        <v>448088.19955494173</v>
      </c>
      <c r="M60" s="134">
        <f t="shared" ref="M60" si="43">O9</f>
        <v>475647.07852114754</v>
      </c>
      <c r="N60" s="134">
        <f t="shared" ref="N60" si="44">P9</f>
        <v>505060.47739388532</v>
      </c>
      <c r="O60" s="134">
        <f t="shared" ref="O60" si="45">Q9</f>
        <v>536460.8990197262</v>
      </c>
      <c r="P60" s="134">
        <f t="shared" ref="P60" si="46">R9</f>
        <v>569990.66039613902</v>
      </c>
      <c r="Q60" s="134">
        <f t="shared" ref="Q60" si="47">S9</f>
        <v>605802.63496385468</v>
      </c>
      <c r="R60" s="134">
        <f t="shared" ref="R60" si="48">T9</f>
        <v>644061.0517643115</v>
      </c>
    </row>
    <row r="61" spans="1:20" x14ac:dyDescent="0.3">
      <c r="A61" s="136">
        <v>8.1455160736165003E-2</v>
      </c>
      <c r="B61" s="127" t="s">
        <v>183</v>
      </c>
      <c r="C61" s="135">
        <f>C60*$A$61</f>
        <v>21123.441013066724</v>
      </c>
      <c r="D61" s="135">
        <f>D60*$A$61</f>
        <v>22475.135059978722</v>
      </c>
      <c r="E61" s="135">
        <f t="shared" ref="E61:R61" si="49">E60*$A$61</f>
        <v>23916.220611562421</v>
      </c>
      <c r="F61" s="135">
        <f t="shared" si="49"/>
        <v>25452.84293674567</v>
      </c>
      <c r="G61" s="135">
        <f t="shared" si="49"/>
        <v>27091.590649738748</v>
      </c>
      <c r="H61" s="135">
        <f t="shared" si="49"/>
        <v>28839.529803125344</v>
      </c>
      <c r="I61" s="135">
        <f t="shared" si="49"/>
        <v>30573.927881703414</v>
      </c>
      <c r="J61" s="135">
        <f t="shared" si="49"/>
        <v>32423.143050732881</v>
      </c>
      <c r="K61" s="135">
        <f t="shared" si="49"/>
        <v>34395.293828716771</v>
      </c>
      <c r="L61" s="135">
        <f t="shared" si="49"/>
        <v>36499.096318726559</v>
      </c>
      <c r="M61" s="135">
        <f t="shared" si="49"/>
        <v>38743.909234627368</v>
      </c>
      <c r="N61" s="135">
        <f t="shared" si="49"/>
        <v>41139.782367603162</v>
      </c>
      <c r="O61" s="135">
        <f t="shared" si="49"/>
        <v>43697.508758319382</v>
      </c>
      <c r="P61" s="135">
        <f t="shared" si="49"/>
        <v>46428.680860680346</v>
      </c>
      <c r="Q61" s="135">
        <f t="shared" si="49"/>
        <v>49345.751005373073</v>
      </c>
      <c r="R61" s="135">
        <f t="shared" si="49"/>
        <v>52462.096495365484</v>
      </c>
    </row>
    <row r="62" spans="1:20" s="116" customFormat="1" x14ac:dyDescent="0.3">
      <c r="B62" s="145" t="s">
        <v>240</v>
      </c>
      <c r="D62" s="146">
        <f>C61-D61</f>
        <v>-1351.6940469119982</v>
      </c>
      <c r="E62" s="146">
        <f t="shared" ref="E62:R62" si="50">D61-E61</f>
        <v>-1441.0855515836993</v>
      </c>
      <c r="F62" s="146">
        <f t="shared" si="50"/>
        <v>-1536.6223251832489</v>
      </c>
      <c r="G62" s="146">
        <f t="shared" si="50"/>
        <v>-1638.7477129930776</v>
      </c>
      <c r="H62" s="146">
        <f t="shared" si="50"/>
        <v>-1747.9391533865964</v>
      </c>
      <c r="I62" s="146">
        <f t="shared" si="50"/>
        <v>-1734.3980785780695</v>
      </c>
      <c r="J62" s="146">
        <f t="shared" si="50"/>
        <v>-1849.2151690294668</v>
      </c>
      <c r="K62" s="146">
        <f t="shared" si="50"/>
        <v>-1972.1507779838903</v>
      </c>
      <c r="L62" s="146">
        <f t="shared" si="50"/>
        <v>-2103.802490009788</v>
      </c>
      <c r="M62" s="146">
        <f t="shared" si="50"/>
        <v>-2244.8129159008095</v>
      </c>
      <c r="N62" s="146">
        <f t="shared" si="50"/>
        <v>-2395.8731329757939</v>
      </c>
      <c r="O62" s="146">
        <f t="shared" si="50"/>
        <v>-2557.7263907162196</v>
      </c>
      <c r="P62" s="146">
        <f t="shared" si="50"/>
        <v>-2731.1721023609643</v>
      </c>
      <c r="Q62" s="146">
        <f t="shared" si="50"/>
        <v>-2917.0701446927269</v>
      </c>
      <c r="R62" s="146">
        <f t="shared" si="50"/>
        <v>-3116.3454899924109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A67E-4C31-4800-8503-C0D49A2AED0E}">
  <dimension ref="B3:K43"/>
  <sheetViews>
    <sheetView zoomScale="85" zoomScaleNormal="85" workbookViewId="0"/>
  </sheetViews>
  <sheetFormatPr defaultRowHeight="13.8" x14ac:dyDescent="0.25"/>
  <cols>
    <col min="1" max="1" width="8.88671875" style="30"/>
    <col min="2" max="2" width="34.6640625" style="30" bestFit="1" customWidth="1"/>
    <col min="3" max="10" width="11.44140625" style="30" bestFit="1" customWidth="1"/>
    <col min="11" max="16384" width="8.88671875" style="30"/>
  </cols>
  <sheetData>
    <row r="3" spans="2:11" x14ac:dyDescent="0.25">
      <c r="B3" s="111" t="s">
        <v>113</v>
      </c>
      <c r="C3" s="101">
        <v>2015</v>
      </c>
      <c r="D3" s="101">
        <v>2016</v>
      </c>
      <c r="E3" s="101">
        <v>2017</v>
      </c>
      <c r="F3" s="101">
        <v>2018</v>
      </c>
      <c r="G3" s="101">
        <v>2019</v>
      </c>
      <c r="H3" s="101">
        <v>2020</v>
      </c>
      <c r="I3" s="101">
        <v>2021</v>
      </c>
      <c r="J3" s="102">
        <v>2022</v>
      </c>
    </row>
    <row r="4" spans="2:11" x14ac:dyDescent="0.25">
      <c r="B4" s="113" t="s">
        <v>114</v>
      </c>
      <c r="C4" s="105">
        <f>C5/C6</f>
        <v>0.65308731173234025</v>
      </c>
      <c r="D4" s="105">
        <f t="shared" ref="D4:J4" si="0">D5/D6</f>
        <v>0.68355048859934864</v>
      </c>
      <c r="E4" s="105">
        <f t="shared" si="0"/>
        <v>0.7480268456375837</v>
      </c>
      <c r="F4" s="105">
        <f t="shared" si="0"/>
        <v>0.76319840246286963</v>
      </c>
      <c r="G4" s="105">
        <f t="shared" si="0"/>
        <v>0.74488365573310922</v>
      </c>
      <c r="H4" s="105">
        <f t="shared" si="0"/>
        <v>0.76683004180481462</v>
      </c>
      <c r="I4" s="105">
        <f t="shared" si="0"/>
        <v>0.83636882523868827</v>
      </c>
      <c r="J4" s="106">
        <f t="shared" si="0"/>
        <v>0.87376277786792145</v>
      </c>
      <c r="K4" s="75" t="s">
        <v>155</v>
      </c>
    </row>
    <row r="5" spans="2:11" x14ac:dyDescent="0.25">
      <c r="B5" s="112" t="s">
        <v>224</v>
      </c>
      <c r="C5" s="103">
        <f>'Balance general'!C68</f>
        <v>17610.048600000002</v>
      </c>
      <c r="D5" s="103">
        <f>'Balance general'!D68</f>
        <v>18287.168400000002</v>
      </c>
      <c r="E5" s="103">
        <f>'Balance general'!E68</f>
        <v>19019.966399999998</v>
      </c>
      <c r="F5" s="103">
        <f>'Balance general'!F68</f>
        <v>23956.735499999999</v>
      </c>
      <c r="G5" s="103">
        <f>'Balance general'!G68</f>
        <v>23659.787900000003</v>
      </c>
      <c r="H5" s="103">
        <f>'Balance general'!H68</f>
        <v>26293.224600000001</v>
      </c>
      <c r="I5" s="103">
        <f>'Balance general'!I68</f>
        <v>34757.933400000002</v>
      </c>
      <c r="J5" s="104">
        <f>'Balance general'!J68</f>
        <v>37695</v>
      </c>
      <c r="K5" s="75"/>
    </row>
    <row r="6" spans="2:11" x14ac:dyDescent="0.25">
      <c r="B6" s="114" t="s">
        <v>40</v>
      </c>
      <c r="C6" s="109">
        <f>'Balance general'!C90</f>
        <v>26964.309800000006</v>
      </c>
      <c r="D6" s="109">
        <f>'Balance general'!D90</f>
        <v>26753.207999999999</v>
      </c>
      <c r="E6" s="109">
        <f>'Balance general'!E90</f>
        <v>25426.850000000002</v>
      </c>
      <c r="F6" s="109">
        <f>'Balance general'!F90</f>
        <v>31389.918300000001</v>
      </c>
      <c r="G6" s="109">
        <f>'Balance general'!G90</f>
        <v>31763.064899999998</v>
      </c>
      <c r="H6" s="109">
        <f>'Balance general'!H90</f>
        <v>34288.203600000008</v>
      </c>
      <c r="I6" s="109">
        <f>'Balance general'!I90</f>
        <v>41558.140800000001</v>
      </c>
      <c r="J6" s="110">
        <f>'Balance general'!J90</f>
        <v>43141</v>
      </c>
      <c r="K6" s="75"/>
    </row>
    <row r="7" spans="2:11" x14ac:dyDescent="0.25">
      <c r="B7" s="113" t="s">
        <v>115</v>
      </c>
      <c r="C7" s="105">
        <f>C8/C9</f>
        <v>0.23653643083421327</v>
      </c>
      <c r="D7" s="105">
        <f t="shared" ref="D7:J7" si="1">D8/D9</f>
        <v>0.19809989142236709</v>
      </c>
      <c r="E7" s="105">
        <f t="shared" si="1"/>
        <v>0.22969127516778515</v>
      </c>
      <c r="F7" s="105">
        <f t="shared" si="1"/>
        <v>0.22773224612056409</v>
      </c>
      <c r="G7" s="105">
        <f t="shared" si="1"/>
        <v>0.20537466458408438</v>
      </c>
      <c r="H7" s="105">
        <f t="shared" si="1"/>
        <v>0.33487098169237417</v>
      </c>
      <c r="I7" s="105">
        <f t="shared" si="1"/>
        <v>0.37175695309256951</v>
      </c>
      <c r="J7" s="106">
        <f t="shared" si="1"/>
        <v>0.38608284462576203</v>
      </c>
      <c r="K7" s="75" t="s">
        <v>156</v>
      </c>
    </row>
    <row r="8" spans="2:11" x14ac:dyDescent="0.25">
      <c r="B8" s="112" t="s">
        <v>225</v>
      </c>
      <c r="C8" s="103">
        <f>('Balance general'!C68-'Balance general'!C65)</f>
        <v>6378.0416000000005</v>
      </c>
      <c r="D8" s="103">
        <f>('Balance general'!D68-'Balance general'!D65)</f>
        <v>5299.8076000000019</v>
      </c>
      <c r="E8" s="103">
        <f>('Balance general'!E68-'Balance general'!E65)</f>
        <v>5840.3255999999983</v>
      </c>
      <c r="F8" s="103">
        <f>('Balance general'!F68-'Balance general'!F65)</f>
        <v>7148.4965999999986</v>
      </c>
      <c r="G8" s="103">
        <f>('Balance general'!G68-'Balance general'!G65)</f>
        <v>6523.328800000003</v>
      </c>
      <c r="H8" s="103">
        <f>('Balance general'!H68-'Balance general'!H65)</f>
        <v>11482.124400000001</v>
      </c>
      <c r="I8" s="103">
        <f>('Balance general'!I68-'Balance general'!I65)</f>
        <v>15449.5278</v>
      </c>
      <c r="J8" s="104">
        <f>('Balance general'!J68-'Balance general'!J65)</f>
        <v>16656</v>
      </c>
      <c r="K8" s="75"/>
    </row>
    <row r="9" spans="2:11" x14ac:dyDescent="0.25">
      <c r="B9" s="112" t="s">
        <v>40</v>
      </c>
      <c r="C9" s="103">
        <f>'Balance general'!C90</f>
        <v>26964.309800000006</v>
      </c>
      <c r="D9" s="103">
        <f>'Balance general'!D90</f>
        <v>26753.207999999999</v>
      </c>
      <c r="E9" s="103">
        <f>'Balance general'!E90</f>
        <v>25426.850000000002</v>
      </c>
      <c r="F9" s="103">
        <f>'Balance general'!F90</f>
        <v>31389.918300000001</v>
      </c>
      <c r="G9" s="103">
        <f>'Balance general'!G90</f>
        <v>31763.064899999998</v>
      </c>
      <c r="H9" s="103">
        <f>'Balance general'!H90</f>
        <v>34288.203600000008</v>
      </c>
      <c r="I9" s="103">
        <f>'Balance general'!I90</f>
        <v>41558.140800000001</v>
      </c>
      <c r="J9" s="104">
        <f>'Balance general'!J90</f>
        <v>43141</v>
      </c>
      <c r="K9" s="75"/>
    </row>
    <row r="10" spans="2:11" hidden="1" x14ac:dyDescent="0.25">
      <c r="B10" s="113" t="s">
        <v>116</v>
      </c>
      <c r="C10" s="105">
        <f>('Balance general'!C68-'Balance general'!C65-'Balance general'!C61)/'Balance general'!C90</f>
        <v>0.19235258155949531</v>
      </c>
      <c r="D10" s="105">
        <f>('Balance general'!D68-'Balance general'!D65-'Balance general'!D61)/'Balance general'!D90</f>
        <v>0.14641693811074927</v>
      </c>
      <c r="E10" s="105">
        <f>('Balance general'!E68-'Balance general'!E65-'Balance general'!E61)/'Balance general'!E90</f>
        <v>0.17535570469798648</v>
      </c>
      <c r="F10" s="105">
        <f>('Balance general'!F68-'Balance general'!F65-'Balance general'!F61)/'Balance general'!F90</f>
        <v>0.16574447726421762</v>
      </c>
      <c r="G10" s="105">
        <f>('Balance general'!G68-'Balance general'!G65-'Balance general'!G61)/'Balance general'!G90</f>
        <v>0.15118747246585779</v>
      </c>
      <c r="H10" s="105">
        <f>('Balance general'!H68-'Balance general'!H65-'Balance general'!H61)/'Balance general'!H90</f>
        <v>0.28661525154966117</v>
      </c>
      <c r="I10" s="105">
        <f>('Balance general'!I68-'Balance general'!I65-'Balance general'!I61)/'Balance general'!I90</f>
        <v>0.31475716064757159</v>
      </c>
      <c r="J10" s="106">
        <f>('Balance general'!J68-'Balance general'!J65-'Balance general'!J61)/'Balance general'!J90</f>
        <v>0.33995503117683873</v>
      </c>
      <c r="K10" s="75" t="s">
        <v>169</v>
      </c>
    </row>
    <row r="11" spans="2:11" hidden="1" x14ac:dyDescent="0.25">
      <c r="B11" s="113"/>
      <c r="C11" s="105"/>
      <c r="D11" s="105"/>
      <c r="E11" s="105"/>
      <c r="F11" s="105"/>
      <c r="G11" s="105"/>
      <c r="H11" s="105"/>
      <c r="I11" s="105"/>
      <c r="J11" s="106"/>
      <c r="K11" s="75"/>
    </row>
    <row r="12" spans="2:11" hidden="1" x14ac:dyDescent="0.25">
      <c r="B12" s="113"/>
      <c r="C12" s="105"/>
      <c r="D12" s="105"/>
      <c r="E12" s="105"/>
      <c r="F12" s="105"/>
      <c r="G12" s="105"/>
      <c r="H12" s="105"/>
      <c r="I12" s="105"/>
      <c r="J12" s="106"/>
      <c r="K12" s="75"/>
    </row>
    <row r="13" spans="2:11" x14ac:dyDescent="0.25">
      <c r="B13" s="111" t="s">
        <v>117</v>
      </c>
      <c r="C13" s="101">
        <v>2015</v>
      </c>
      <c r="D13" s="101">
        <v>2016</v>
      </c>
      <c r="E13" s="101">
        <v>2017</v>
      </c>
      <c r="F13" s="101">
        <v>2018</v>
      </c>
      <c r="G13" s="101">
        <v>2019</v>
      </c>
      <c r="H13" s="101">
        <v>2020</v>
      </c>
      <c r="I13" s="101">
        <v>2021</v>
      </c>
      <c r="J13" s="102">
        <v>2022</v>
      </c>
    </row>
    <row r="14" spans="2:11" x14ac:dyDescent="0.25">
      <c r="B14" s="113" t="s">
        <v>157</v>
      </c>
      <c r="C14" s="105">
        <f>C16/C17</f>
        <v>1.0210840972499005</v>
      </c>
      <c r="D14" s="105">
        <f t="shared" ref="D14:J14" si="2">D16/D17</f>
        <v>0.97791224292820556</v>
      </c>
      <c r="E14" s="105">
        <f t="shared" si="2"/>
        <v>0.93461592571750129</v>
      </c>
      <c r="F14" s="105">
        <f t="shared" si="2"/>
        <v>2.2603444419592931</v>
      </c>
      <c r="G14" s="105">
        <f t="shared" si="2"/>
        <v>2.1883254286756655</v>
      </c>
      <c r="H14" s="105">
        <f t="shared" si="2"/>
        <v>2.0889625025613006</v>
      </c>
      <c r="I14" s="105">
        <f t="shared" si="2"/>
        <v>3.3184017146356397</v>
      </c>
      <c r="J14" s="106">
        <f t="shared" si="2"/>
        <v>2.643542979069295</v>
      </c>
      <c r="K14" s="76" t="s">
        <v>171</v>
      </c>
    </row>
    <row r="15" spans="2:11" hidden="1" x14ac:dyDescent="0.25">
      <c r="B15" s="112" t="s">
        <v>118</v>
      </c>
      <c r="C15" s="103">
        <f>'Balance general'!C100/'Balance general'!C102</f>
        <v>0.30394579513750497</v>
      </c>
      <c r="D15" s="103">
        <f>'Balance general'!D100/'Balance general'!D102</f>
        <v>0.29411983072239961</v>
      </c>
      <c r="E15" s="103">
        <f>'Balance general'!E100/'Balance general'!E102</f>
        <v>0.27954417557681482</v>
      </c>
      <c r="F15" s="103">
        <f>'Balance general'!F100/'Balance general'!F102</f>
        <v>1.3643107433087303</v>
      </c>
      <c r="G15" s="103">
        <f>'Balance general'!G100/'Balance general'!G102</f>
        <v>1.2773805180591022</v>
      </c>
      <c r="H15" s="103">
        <f>'Balance general'!H100/'Balance general'!H102</f>
        <v>1.1413496345878014</v>
      </c>
      <c r="I15" s="103">
        <f>'Balance general'!I100/'Balance general'!I102</f>
        <v>2.1382424984690749</v>
      </c>
      <c r="J15" s="104">
        <f>'Balance general'!J100/'Balance general'!J102</f>
        <v>1.5477037187563503</v>
      </c>
      <c r="K15" s="30" t="s">
        <v>158</v>
      </c>
    </row>
    <row r="16" spans="2:11" x14ac:dyDescent="0.25">
      <c r="B16" s="112" t="s">
        <v>226</v>
      </c>
      <c r="C16" s="103">
        <f>'Balance general'!C101</f>
        <v>38392.633400000006</v>
      </c>
      <c r="D16" s="103">
        <f>'Balance general'!D101</f>
        <v>38260.573199999999</v>
      </c>
      <c r="E16" s="103">
        <f>'Balance general'!E101</f>
        <v>36277.459600000002</v>
      </c>
      <c r="F16" s="103">
        <f>'Balance general'!F101</f>
        <v>79184.5524</v>
      </c>
      <c r="G16" s="103">
        <f>'Balance general'!G101</f>
        <v>76303.102199999994</v>
      </c>
      <c r="H16" s="103">
        <f>'Balance general'!H101</f>
        <v>75586.53330000001</v>
      </c>
      <c r="I16" s="103">
        <f>'Balance general'!I101</f>
        <v>116854.2378</v>
      </c>
      <c r="J16" s="104">
        <f>'Balance general'!J101</f>
        <v>104071</v>
      </c>
    </row>
    <row r="17" spans="2:11" x14ac:dyDescent="0.25">
      <c r="B17" s="114" t="s">
        <v>227</v>
      </c>
      <c r="C17" s="109">
        <f>'Balance general'!C102</f>
        <v>37599.874000000003</v>
      </c>
      <c r="D17" s="109">
        <f>'Balance general'!D102</f>
        <v>39124.751199999999</v>
      </c>
      <c r="E17" s="109">
        <f>'Balance general'!E102</f>
        <v>38815.366400000006</v>
      </c>
      <c r="F17" s="109">
        <f>'Balance general'!F102</f>
        <v>35032.073400000001</v>
      </c>
      <c r="G17" s="109">
        <f>'Balance general'!G102</f>
        <v>34868.261000000006</v>
      </c>
      <c r="H17" s="109">
        <f>'Balance general'!H102</f>
        <v>36183.767400000004</v>
      </c>
      <c r="I17" s="109">
        <f>'Balance general'!I102</f>
        <v>35214.012000000002</v>
      </c>
      <c r="J17" s="110">
        <f>'Balance general'!J102</f>
        <v>39368</v>
      </c>
    </row>
    <row r="18" spans="2:11" x14ac:dyDescent="0.25">
      <c r="B18" s="113" t="s">
        <v>119</v>
      </c>
      <c r="C18" s="105">
        <f>C19/C20</f>
        <v>0.50522599984223393</v>
      </c>
      <c r="D18" s="105">
        <f t="shared" ref="D18:J18" si="3">D19/D20</f>
        <v>0.49442567567567564</v>
      </c>
      <c r="E18" s="105">
        <f t="shared" si="3"/>
        <v>0.48308397113094698</v>
      </c>
      <c r="F18" s="105">
        <f t="shared" si="3"/>
        <v>0.69326808744169033</v>
      </c>
      <c r="G18" s="105">
        <f t="shared" si="3"/>
        <v>0.68636358435079126</v>
      </c>
      <c r="H18" s="105">
        <f t="shared" si="3"/>
        <v>0.67628166148879487</v>
      </c>
      <c r="I18" s="105">
        <f t="shared" si="3"/>
        <v>0.76842739648326708</v>
      </c>
      <c r="J18" s="106">
        <f t="shared" si="3"/>
        <v>0.72554186797175102</v>
      </c>
      <c r="K18" s="76" t="s">
        <v>170</v>
      </c>
    </row>
    <row r="19" spans="2:11" x14ac:dyDescent="0.25">
      <c r="B19" s="112" t="s">
        <v>226</v>
      </c>
      <c r="C19" s="103">
        <f>'Balance general'!C101</f>
        <v>38392.633400000006</v>
      </c>
      <c r="D19" s="103">
        <f>'Balance general'!D101</f>
        <v>38260.573199999999</v>
      </c>
      <c r="E19" s="103">
        <f>'Balance general'!E101</f>
        <v>36277.459600000002</v>
      </c>
      <c r="F19" s="103">
        <f>'Balance general'!F101</f>
        <v>79184.5524</v>
      </c>
      <c r="G19" s="103">
        <f>'Balance general'!G101</f>
        <v>76303.102199999994</v>
      </c>
      <c r="H19" s="103">
        <f>'Balance general'!H101</f>
        <v>75586.53330000001</v>
      </c>
      <c r="I19" s="103">
        <f>'Balance general'!I101</f>
        <v>116854.2378</v>
      </c>
      <c r="J19" s="104">
        <f>'Balance general'!J101</f>
        <v>104071</v>
      </c>
      <c r="K19" s="76"/>
    </row>
    <row r="20" spans="2:11" x14ac:dyDescent="0.25">
      <c r="B20" s="112" t="s">
        <v>228</v>
      </c>
      <c r="C20" s="103">
        <f>'Balance general'!C79</f>
        <v>75991.008800000011</v>
      </c>
      <c r="D20" s="103">
        <f>'Balance general'!D79</f>
        <v>77383.872000000003</v>
      </c>
      <c r="E20" s="103">
        <f>'Balance general'!E79</f>
        <v>75095.556400000001</v>
      </c>
      <c r="F20" s="103">
        <f>'Balance general'!F79</f>
        <v>114219.23759999999</v>
      </c>
      <c r="G20" s="103">
        <f>'Balance general'!G79</f>
        <v>111170.09109999999</v>
      </c>
      <c r="H20" s="103">
        <f>'Balance general'!H79</f>
        <v>111767.8293</v>
      </c>
      <c r="I20" s="103">
        <f>'Balance general'!I79</f>
        <v>152069.32800000001</v>
      </c>
      <c r="J20" s="104">
        <f>'Balance general'!J79</f>
        <v>143439</v>
      </c>
      <c r="K20" s="76"/>
    </row>
    <row r="21" spans="2:11" hidden="1" x14ac:dyDescent="0.25">
      <c r="B21" s="113" t="s">
        <v>120</v>
      </c>
      <c r="C21" s="107">
        <f>'Balance general'!C78/'Balance general'!C102</f>
        <v>1.5526903148664808</v>
      </c>
      <c r="D21" s="107">
        <f>'Balance general'!D78/'Balance general'!D102</f>
        <v>1.510468483183607</v>
      </c>
      <c r="E21" s="107">
        <f>'Balance general'!E78/'Balance general'!E102</f>
        <v>1.4446750140686548</v>
      </c>
      <c r="F21" s="107">
        <f>'Balance general'!F78/'Balance general'!F102</f>
        <v>2.5765675091329308</v>
      </c>
      <c r="G21" s="107">
        <f>'Balance general'!G78/'Balance general'!G102</f>
        <v>2.5097409704487408</v>
      </c>
      <c r="H21" s="107">
        <f>'Balance general'!H78/'Balance general'!H102</f>
        <v>2.3622361860528649</v>
      </c>
      <c r="I21" s="107">
        <f>'Balance general'!I78/'Balance general'!I102</f>
        <v>3.3313839559093696</v>
      </c>
      <c r="J21" s="108">
        <f>'Balance general'!J78/'Balance general'!J102</f>
        <v>2.6860394228815281</v>
      </c>
    </row>
    <row r="22" spans="2:11" hidden="1" x14ac:dyDescent="0.25">
      <c r="B22" s="113" t="s">
        <v>121</v>
      </c>
      <c r="C22" s="107">
        <f>'Balance general'!C102/'Balance general'!C103</f>
        <v>99.563492063492063</v>
      </c>
      <c r="D22" s="107">
        <f>'Balance general'!D102/'Balance general'!D103</f>
        <v>106.89682539682538</v>
      </c>
      <c r="E22" s="107">
        <f>'Balance general'!E102/'Balance general'!E103</f>
        <v>112.82539682539685</v>
      </c>
      <c r="F22" s="107">
        <f>'Balance general'!F102/'Balance general'!F103</f>
        <v>106.45238095238095</v>
      </c>
      <c r="G22" s="107">
        <f>'Balance general'!G102/'Balance general'!G103</f>
        <v>108.76984126984128</v>
      </c>
      <c r="H22" s="107">
        <f>'Balance general'!H102/'Balance general'!H103</f>
        <v>116.1984126984127</v>
      </c>
      <c r="I22" s="107">
        <f>'Balance general'!I102/'Balance general'!I103</f>
        <v>129.60317460317461</v>
      </c>
      <c r="J22" s="108">
        <f>'Balance general'!J102/'Balance general'!J103</f>
        <v>156.22222222222223</v>
      </c>
    </row>
    <row r="23" spans="2:11" x14ac:dyDescent="0.25">
      <c r="B23" s="111" t="s">
        <v>122</v>
      </c>
      <c r="C23" s="101">
        <v>2015</v>
      </c>
      <c r="D23" s="101">
        <v>2016</v>
      </c>
      <c r="E23" s="101">
        <v>2017</v>
      </c>
      <c r="F23" s="101">
        <v>2018</v>
      </c>
      <c r="G23" s="101">
        <v>2019</v>
      </c>
      <c r="H23" s="101">
        <v>2020</v>
      </c>
      <c r="I23" s="101">
        <v>2021</v>
      </c>
      <c r="J23" s="102">
        <v>2022</v>
      </c>
    </row>
    <row r="24" spans="2:11" x14ac:dyDescent="0.25">
      <c r="B24" s="113" t="s">
        <v>123</v>
      </c>
      <c r="C24" s="105">
        <f>'Estado de resultados'!C32/'Balance general'!C78</f>
        <v>2.0188412865467051</v>
      </c>
      <c r="D24" s="105">
        <f>'Estado de resultados'!D32/'Balance general'!D78</f>
        <v>2.1757477450908107</v>
      </c>
      <c r="E24" s="105">
        <f>'Estado de resultados'!E32/'Balance general'!E78</f>
        <v>2.3026902008520995</v>
      </c>
      <c r="F24" s="105">
        <f>'Estado de resultados'!F32/'Balance general'!F78</f>
        <v>1.6787135230544423</v>
      </c>
      <c r="G24" s="105">
        <f>'Estado de resultados'!G32/'Balance general'!G78</f>
        <v>1.8816577509012675</v>
      </c>
      <c r="H24" s="105">
        <f>'Estado de resultados'!H32/'Balance general'!H78</f>
        <v>2.1148602738141711</v>
      </c>
      <c r="I24" s="105">
        <f>'Estado de resultados'!I32/'Balance general'!I78</f>
        <v>1.732369511870077</v>
      </c>
      <c r="J24" s="106">
        <f>'Estado de resultados'!J32/'Balance general'!J78</f>
        <v>2.4523944620971401</v>
      </c>
      <c r="K24" s="76" t="s">
        <v>159</v>
      </c>
    </row>
    <row r="25" spans="2:11" x14ac:dyDescent="0.25">
      <c r="B25" s="112" t="s">
        <v>175</v>
      </c>
      <c r="C25" s="103">
        <f>'Estado de resultados'!C32</f>
        <v>117861.89280000002</v>
      </c>
      <c r="D25" s="103">
        <f>'Estado de resultados'!D32</f>
        <v>128579.51960000001</v>
      </c>
      <c r="E25" s="103">
        <f>'Estado de resultados'!E32</f>
        <v>129124.7116</v>
      </c>
      <c r="F25" s="103">
        <f>'Estado de resultados'!F32</f>
        <v>151524.8829</v>
      </c>
      <c r="G25" s="103">
        <f>'Estado de resultados'!G32</f>
        <v>164664.44029999999</v>
      </c>
      <c r="H25" s="103">
        <f>'Estado de resultados'!H32</f>
        <v>180766.84590000001</v>
      </c>
      <c r="I25" s="103">
        <f>'Estado de resultados'!I32</f>
        <v>203226.68340000001</v>
      </c>
      <c r="J25" s="104">
        <f>'Estado de resultados'!J32</f>
        <v>259326</v>
      </c>
      <c r="K25" s="76"/>
    </row>
    <row r="26" spans="2:11" x14ac:dyDescent="0.25">
      <c r="B26" s="114" t="s">
        <v>229</v>
      </c>
      <c r="C26" s="109">
        <f>'Balance general'!C78</f>
        <v>58380.960200000009</v>
      </c>
      <c r="D26" s="109">
        <f>'Balance general'!D78</f>
        <v>59096.703600000008</v>
      </c>
      <c r="E26" s="109">
        <f>'Balance general'!E78</f>
        <v>56075.590000000004</v>
      </c>
      <c r="F26" s="109">
        <f>'Balance general'!F78</f>
        <v>90262.502099999998</v>
      </c>
      <c r="G26" s="109">
        <f>'Balance general'!G78</f>
        <v>87510.303199999995</v>
      </c>
      <c r="H26" s="109">
        <f>'Balance general'!H78</f>
        <v>85474.604699999996</v>
      </c>
      <c r="I26" s="109">
        <f>'Balance general'!I78</f>
        <v>117311.39460000001</v>
      </c>
      <c r="J26" s="110">
        <f>'Balance general'!J78</f>
        <v>105744</v>
      </c>
      <c r="K26" s="76"/>
    </row>
    <row r="27" spans="2:11" x14ac:dyDescent="0.25">
      <c r="B27" s="113" t="s">
        <v>124</v>
      </c>
      <c r="C27" s="105">
        <f>C28/C29</f>
        <v>1.5509978701585549</v>
      </c>
      <c r="D27" s="105">
        <f t="shared" ref="D27:J27" si="4">D28/D29</f>
        <v>1.6615803303303305</v>
      </c>
      <c r="E27" s="105">
        <f t="shared" si="4"/>
        <v>1.7194720671914483</v>
      </c>
      <c r="F27" s="105">
        <f t="shared" si="4"/>
        <v>1.3266143784871491</v>
      </c>
      <c r="G27" s="105">
        <f t="shared" si="4"/>
        <v>1.4811937156000046</v>
      </c>
      <c r="H27" s="105">
        <f t="shared" si="4"/>
        <v>1.6173423697332201</v>
      </c>
      <c r="I27" s="105">
        <f t="shared" si="4"/>
        <v>1.336408111174135</v>
      </c>
      <c r="J27" s="106">
        <f t="shared" si="4"/>
        <v>1.8079183485662895</v>
      </c>
      <c r="K27" s="76" t="s">
        <v>160</v>
      </c>
    </row>
    <row r="28" spans="2:11" x14ac:dyDescent="0.25">
      <c r="B28" s="112" t="s">
        <v>175</v>
      </c>
      <c r="C28" s="103">
        <f>'Estado de resultados'!C32</f>
        <v>117861.89280000002</v>
      </c>
      <c r="D28" s="103">
        <f>'Estado de resultados'!D32</f>
        <v>128579.51960000001</v>
      </c>
      <c r="E28" s="103">
        <f>'Estado de resultados'!E32</f>
        <v>129124.7116</v>
      </c>
      <c r="F28" s="103">
        <f>'Estado de resultados'!F32</f>
        <v>151524.8829</v>
      </c>
      <c r="G28" s="103">
        <f>'Estado de resultados'!G32</f>
        <v>164664.44029999999</v>
      </c>
      <c r="H28" s="103">
        <f>'Estado de resultados'!H32</f>
        <v>180766.84590000001</v>
      </c>
      <c r="I28" s="103">
        <f>'Estado de resultados'!I32</f>
        <v>203226.68340000001</v>
      </c>
      <c r="J28" s="104">
        <f>'Estado de resultados'!J32</f>
        <v>259326</v>
      </c>
      <c r="K28" s="76"/>
    </row>
    <row r="29" spans="2:11" x14ac:dyDescent="0.25">
      <c r="B29" s="114" t="s">
        <v>228</v>
      </c>
      <c r="C29" s="109">
        <f>'Balance general'!C79</f>
        <v>75991.008800000011</v>
      </c>
      <c r="D29" s="109">
        <f>'Balance general'!D79</f>
        <v>77383.872000000003</v>
      </c>
      <c r="E29" s="109">
        <f>'Balance general'!E79</f>
        <v>75095.556400000001</v>
      </c>
      <c r="F29" s="109">
        <f>'Balance general'!F79</f>
        <v>114219.23759999999</v>
      </c>
      <c r="G29" s="109">
        <f>'Balance general'!G79</f>
        <v>111170.09109999999</v>
      </c>
      <c r="H29" s="109">
        <f>'Balance general'!H79</f>
        <v>111767.8293</v>
      </c>
      <c r="I29" s="109">
        <f>'Balance general'!I79</f>
        <v>152069.32800000001</v>
      </c>
      <c r="J29" s="110">
        <f>'Balance general'!J79</f>
        <v>143439</v>
      </c>
      <c r="K29" s="76"/>
    </row>
    <row r="30" spans="2:11" x14ac:dyDescent="0.25">
      <c r="B30" s="113" t="s">
        <v>125</v>
      </c>
      <c r="C30" s="105">
        <f>C31/C32</f>
        <v>3.1346353128736548</v>
      </c>
      <c r="D30" s="105">
        <f t="shared" ref="D30:J30" si="5">D31/D32</f>
        <v>3.2863983963174701</v>
      </c>
      <c r="E30" s="105">
        <f t="shared" si="5"/>
        <v>3.3266389983117608</v>
      </c>
      <c r="F30" s="105">
        <f t="shared" si="5"/>
        <v>4.3253187206441508</v>
      </c>
      <c r="G30" s="105">
        <f t="shared" si="5"/>
        <v>4.722473549799342</v>
      </c>
      <c r="H30" s="105">
        <f t="shared" si="5"/>
        <v>4.9957994672495047</v>
      </c>
      <c r="I30" s="105">
        <f t="shared" si="5"/>
        <v>5.7711879975505207</v>
      </c>
      <c r="J30" s="106">
        <f t="shared" si="5"/>
        <v>6.5872282056492582</v>
      </c>
      <c r="K30" s="76" t="s">
        <v>161</v>
      </c>
    </row>
    <row r="31" spans="2:11" x14ac:dyDescent="0.25">
      <c r="B31" s="112" t="s">
        <v>175</v>
      </c>
      <c r="C31" s="103">
        <f>'Estado de resultados'!C32</f>
        <v>117861.89280000002</v>
      </c>
      <c r="D31" s="103">
        <f>'Estado de resultados'!D32</f>
        <v>128579.51960000001</v>
      </c>
      <c r="E31" s="103">
        <f>'Estado de resultados'!E32</f>
        <v>129124.7116</v>
      </c>
      <c r="F31" s="103">
        <f>'Estado de resultados'!F32</f>
        <v>151524.8829</v>
      </c>
      <c r="G31" s="103">
        <f>'Estado de resultados'!G32</f>
        <v>164664.44029999999</v>
      </c>
      <c r="H31" s="103">
        <f>'Estado de resultados'!H32</f>
        <v>180766.84590000001</v>
      </c>
      <c r="I31" s="103">
        <f>'Estado de resultados'!I32</f>
        <v>203226.68340000001</v>
      </c>
      <c r="J31" s="104">
        <f>'Estado de resultados'!J32</f>
        <v>259326</v>
      </c>
      <c r="K31" s="76"/>
    </row>
    <row r="32" spans="2:11" x14ac:dyDescent="0.25">
      <c r="B32" s="114" t="s">
        <v>227</v>
      </c>
      <c r="C32" s="109">
        <f>'Balance general'!C102</f>
        <v>37599.874000000003</v>
      </c>
      <c r="D32" s="109">
        <f>'Balance general'!D102</f>
        <v>39124.751199999999</v>
      </c>
      <c r="E32" s="109">
        <f>'Balance general'!E102</f>
        <v>38815.366400000006</v>
      </c>
      <c r="F32" s="109">
        <f>'Balance general'!F102</f>
        <v>35032.073400000001</v>
      </c>
      <c r="G32" s="109">
        <f>'Balance general'!G102</f>
        <v>34868.261000000006</v>
      </c>
      <c r="H32" s="109">
        <f>'Balance general'!H102</f>
        <v>36183.767400000004</v>
      </c>
      <c r="I32" s="109">
        <f>'Balance general'!I102</f>
        <v>35214.012000000002</v>
      </c>
      <c r="J32" s="110">
        <f>'Balance general'!J102</f>
        <v>39368</v>
      </c>
      <c r="K32" s="76"/>
    </row>
    <row r="33" spans="2:11" x14ac:dyDescent="0.25">
      <c r="B33" s="111" t="s">
        <v>126</v>
      </c>
      <c r="C33" s="101">
        <v>2015</v>
      </c>
      <c r="D33" s="101">
        <v>2016</v>
      </c>
      <c r="E33" s="101">
        <v>2017</v>
      </c>
      <c r="F33" s="101">
        <v>2018</v>
      </c>
      <c r="G33" s="101">
        <v>2019</v>
      </c>
      <c r="H33" s="101">
        <v>2020</v>
      </c>
      <c r="I33" s="101">
        <v>2021</v>
      </c>
      <c r="J33" s="102">
        <v>2022</v>
      </c>
    </row>
    <row r="34" spans="2:11" hidden="1" x14ac:dyDescent="0.25">
      <c r="B34" s="113" t="s">
        <v>127</v>
      </c>
      <c r="C34" s="105">
        <f>'Estado de resultados'!C48/'Estado de resultados'!C32</f>
        <v>2.2759637880174956E-2</v>
      </c>
      <c r="D34" s="105">
        <f>'Estado de resultados'!D48/'Estado de resultados'!D32</f>
        <v>2.2704424538851672E-2</v>
      </c>
      <c r="E34" s="105">
        <f>'Estado de resultados'!E48/'Estado de resultados'!E32</f>
        <v>2.2382457735533871E-2</v>
      </c>
      <c r="F34" s="105">
        <f>'Estado de resultados'!F48/'Estado de resultados'!F32</f>
        <v>1.3668760934577829E-2</v>
      </c>
      <c r="G34" s="105">
        <f>'Estado de resultados'!G48/'Estado de resultados'!G32</f>
        <v>1.187395224152716E-2</v>
      </c>
      <c r="H34" s="105">
        <f>'Estado de resultados'!H48/'Estado de resultados'!H32</f>
        <v>1.8279136218529328E-2</v>
      </c>
      <c r="I34" s="105">
        <f>'Estado de resultados'!I48/'Estado de resultados'!I32</f>
        <v>1.8462811758901142E-2</v>
      </c>
      <c r="J34" s="106">
        <f>'Estado de resultados'!J48/'Estado de resultados'!J32</f>
        <v>2.3815583474082816E-2</v>
      </c>
      <c r="K34" s="75" t="s">
        <v>172</v>
      </c>
    </row>
    <row r="35" spans="2:11" x14ac:dyDescent="0.25">
      <c r="B35" s="113" t="s">
        <v>128</v>
      </c>
      <c r="C35" s="105">
        <f>C36/C37</f>
        <v>7.1343164607413315E-2</v>
      </c>
      <c r="D35" s="105">
        <f t="shared" ref="D35:J35" si="6">D36/D37</f>
        <v>7.4615784393793155E-2</v>
      </c>
      <c r="E35" s="105">
        <f t="shared" si="6"/>
        <v>7.4458356781091722E-2</v>
      </c>
      <c r="F35" s="105">
        <f t="shared" si="6"/>
        <v>5.9121747558338926E-2</v>
      </c>
      <c r="G35" s="105">
        <f t="shared" si="6"/>
        <v>5.6074425392192616E-2</v>
      </c>
      <c r="H35" s="105">
        <f t="shared" si="6"/>
        <v>9.1318898982309951E-2</v>
      </c>
      <c r="I35" s="105">
        <f t="shared" si="6"/>
        <v>0.10655235762400489</v>
      </c>
      <c r="J35" s="106">
        <f t="shared" si="6"/>
        <v>0.15687868319447268</v>
      </c>
      <c r="K35" s="75" t="s">
        <v>162</v>
      </c>
    </row>
    <row r="36" spans="2:11" x14ac:dyDescent="0.25">
      <c r="B36" s="112" t="s">
        <v>231</v>
      </c>
      <c r="C36" s="103">
        <f>'Estado de resultados'!C48</f>
        <v>2682.4940000000001</v>
      </c>
      <c r="D36" s="103">
        <f>'Estado de resultados'!D48</f>
        <v>2919.3240000000001</v>
      </c>
      <c r="E36" s="103">
        <f>'Estado de resultados'!E48</f>
        <v>2890.1284000000001</v>
      </c>
      <c r="F36" s="103">
        <f>'Estado de resultados'!F48</f>
        <v>2071.1574000000001</v>
      </c>
      <c r="G36" s="103">
        <f>'Estado de resultados'!G48</f>
        <v>1955.2176999999999</v>
      </c>
      <c r="H36" s="103">
        <f>'Estado de resultados'!H48</f>
        <v>3304.2618000000002</v>
      </c>
      <c r="I36" s="103">
        <f>'Estado de resultados'!I48</f>
        <v>3752.136</v>
      </c>
      <c r="J36" s="104">
        <f>'Estado de resultados'!J48</f>
        <v>6176</v>
      </c>
      <c r="K36" s="75"/>
    </row>
    <row r="37" spans="2:11" x14ac:dyDescent="0.25">
      <c r="B37" s="114" t="s">
        <v>227</v>
      </c>
      <c r="C37" s="109">
        <f>'Balance general'!C102</f>
        <v>37599.874000000003</v>
      </c>
      <c r="D37" s="109">
        <f>'Balance general'!D102</f>
        <v>39124.751199999999</v>
      </c>
      <c r="E37" s="109">
        <f>'Balance general'!E102</f>
        <v>38815.366400000006</v>
      </c>
      <c r="F37" s="109">
        <f>'Balance general'!F102</f>
        <v>35032.073400000001</v>
      </c>
      <c r="G37" s="109">
        <f>'Balance general'!G102</f>
        <v>34868.261000000006</v>
      </c>
      <c r="H37" s="109">
        <f>'Balance general'!H102</f>
        <v>36183.767400000004</v>
      </c>
      <c r="I37" s="109">
        <f>'Balance general'!I102</f>
        <v>35214.012000000002</v>
      </c>
      <c r="J37" s="110">
        <f>'Balance general'!J102</f>
        <v>39368</v>
      </c>
      <c r="K37" s="75"/>
    </row>
    <row r="38" spans="2:11" hidden="1" x14ac:dyDescent="0.25">
      <c r="B38" s="113" t="s">
        <v>129</v>
      </c>
      <c r="C38" s="105">
        <f>C39/C40</f>
        <v>7.1343164607413315E-2</v>
      </c>
      <c r="D38" s="105">
        <f t="shared" ref="D38:J38" si="7">D39/D40</f>
        <v>-3.942419630262084E-2</v>
      </c>
      <c r="E38" s="105">
        <f t="shared" si="7"/>
        <v>1.9978193584693299E-2</v>
      </c>
      <c r="F38" s="105">
        <f t="shared" si="7"/>
        <v>-3.6249534034145975E-3</v>
      </c>
      <c r="G38" s="105">
        <f t="shared" si="7"/>
        <v>-1.3484604159066032E-2</v>
      </c>
      <c r="H38" s="105">
        <f t="shared" si="7"/>
        <v>0.15394307082849532</v>
      </c>
      <c r="I38" s="105">
        <f t="shared" si="7"/>
        <v>0.12275618493570117</v>
      </c>
      <c r="J38" s="106">
        <f t="shared" si="7"/>
        <v>6.4609403576508836E-2</v>
      </c>
      <c r="K38" s="77" t="s">
        <v>163</v>
      </c>
    </row>
    <row r="39" spans="2:11" hidden="1" x14ac:dyDescent="0.25">
      <c r="B39" s="112" t="s">
        <v>231</v>
      </c>
      <c r="C39" s="103">
        <f>'Estado de resultados'!C48</f>
        <v>2682.4940000000001</v>
      </c>
      <c r="D39" s="103">
        <f>'Flujo de efectivo'!D58</f>
        <v>-1542.4618716000002</v>
      </c>
      <c r="E39" s="103">
        <f>'Flujo de efectivo'!E58</f>
        <v>775.46090399999991</v>
      </c>
      <c r="F39" s="103">
        <f>'Flujo de efectivo'!F58</f>
        <v>-126.9896337</v>
      </c>
      <c r="G39" s="103">
        <f>'Flujo de efectivo'!G58</f>
        <v>-470.18469729999998</v>
      </c>
      <c r="H39" s="103">
        <f>'Flujo de efectivo'!H58</f>
        <v>5570.2402677000009</v>
      </c>
      <c r="I39" s="103">
        <f>'Flujo de efectivo'!I58</f>
        <v>4322.7377694000006</v>
      </c>
      <c r="J39" s="104">
        <f>'Flujo de efectivo'!J58</f>
        <v>2543.5430000000001</v>
      </c>
      <c r="K39" s="77"/>
    </row>
    <row r="40" spans="2:11" hidden="1" x14ac:dyDescent="0.25">
      <c r="B40" s="114" t="s">
        <v>227</v>
      </c>
      <c r="C40" s="109">
        <f>'Balance general'!C102</f>
        <v>37599.874000000003</v>
      </c>
      <c r="D40" s="109">
        <f>'Balance general'!D102</f>
        <v>39124.751199999999</v>
      </c>
      <c r="E40" s="109">
        <f>'Balance general'!E102</f>
        <v>38815.366400000006</v>
      </c>
      <c r="F40" s="109">
        <f>'Balance general'!F102</f>
        <v>35032.073400000001</v>
      </c>
      <c r="G40" s="109">
        <f>'Balance general'!G102</f>
        <v>34868.261000000006</v>
      </c>
      <c r="H40" s="109">
        <f>'Balance general'!H102</f>
        <v>36183.767400000004</v>
      </c>
      <c r="I40" s="109">
        <f>'Balance general'!I102</f>
        <v>35214.012000000002</v>
      </c>
      <c r="J40" s="110">
        <f>'Balance general'!J102</f>
        <v>39368</v>
      </c>
      <c r="K40" s="77"/>
    </row>
    <row r="41" spans="2:11" x14ac:dyDescent="0.25">
      <c r="B41" s="113" t="s">
        <v>130</v>
      </c>
      <c r="C41" s="105">
        <f>C42/C43</f>
        <v>3.5300149877731321E-2</v>
      </c>
      <c r="D41" s="105">
        <f t="shared" ref="D41:J41" si="8">D42/D43</f>
        <v>3.7725225225225222E-2</v>
      </c>
      <c r="E41" s="105">
        <f t="shared" si="8"/>
        <v>3.8486010871343644E-2</v>
      </c>
      <c r="F41" s="105">
        <f t="shared" si="8"/>
        <v>1.813317479191439E-2</v>
      </c>
      <c r="G41" s="105">
        <f t="shared" si="8"/>
        <v>1.7587623439484616E-2</v>
      </c>
      <c r="H41" s="105">
        <f t="shared" si="8"/>
        <v>2.9563621488352555E-2</v>
      </c>
      <c r="I41" s="105">
        <f t="shared" si="8"/>
        <v>2.4673851389676687E-2</v>
      </c>
      <c r="J41" s="106">
        <f t="shared" si="8"/>
        <v>4.3056630344606418E-2</v>
      </c>
      <c r="K41" s="75" t="s">
        <v>164</v>
      </c>
    </row>
    <row r="42" spans="2:11" x14ac:dyDescent="0.25">
      <c r="B42" s="112" t="s">
        <v>231</v>
      </c>
      <c r="C42" s="103">
        <f>'Estado de resultados'!C48</f>
        <v>2682.4940000000001</v>
      </c>
      <c r="D42" s="103">
        <f>'Estado de resultados'!D48</f>
        <v>2919.3240000000001</v>
      </c>
      <c r="E42" s="103">
        <f>'Estado de resultados'!E48</f>
        <v>2890.1284000000001</v>
      </c>
      <c r="F42" s="103">
        <f>'Estado de resultados'!F48</f>
        <v>2071.1574000000001</v>
      </c>
      <c r="G42" s="103">
        <f>'Estado de resultados'!G48</f>
        <v>1955.2176999999999</v>
      </c>
      <c r="H42" s="103">
        <f>'Estado de resultados'!H48</f>
        <v>3304.2618000000002</v>
      </c>
      <c r="I42" s="103">
        <f>'Estado de resultados'!I48</f>
        <v>3752.136</v>
      </c>
      <c r="J42" s="104">
        <f>'Estado de resultados'!J48</f>
        <v>6176</v>
      </c>
      <c r="K42" s="75"/>
    </row>
    <row r="43" spans="2:11" x14ac:dyDescent="0.25">
      <c r="B43" s="114" t="s">
        <v>228</v>
      </c>
      <c r="C43" s="109">
        <f>'Balance general'!C79</f>
        <v>75991.008800000011</v>
      </c>
      <c r="D43" s="109">
        <f>'Balance general'!D79</f>
        <v>77383.872000000003</v>
      </c>
      <c r="E43" s="109">
        <f>'Balance general'!E79</f>
        <v>75095.556400000001</v>
      </c>
      <c r="F43" s="109">
        <f>'Balance general'!F79</f>
        <v>114219.23759999999</v>
      </c>
      <c r="G43" s="109">
        <f>'Balance general'!G79</f>
        <v>111170.09109999999</v>
      </c>
      <c r="H43" s="109">
        <f>'Balance general'!H79</f>
        <v>111767.8293</v>
      </c>
      <c r="I43" s="109">
        <f>'Balance general'!I79</f>
        <v>152069.32800000001</v>
      </c>
      <c r="J43" s="110">
        <f>'Balance general'!J79</f>
        <v>143439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D8E8-3B28-439E-B612-6707E9AC8440}">
  <dimension ref="A1:U146"/>
  <sheetViews>
    <sheetView zoomScale="85" zoomScaleNormal="85" workbookViewId="0"/>
  </sheetViews>
  <sheetFormatPr defaultRowHeight="13.8" x14ac:dyDescent="0.25"/>
  <cols>
    <col min="1" max="1" width="8.88671875" style="30"/>
    <col min="2" max="2" width="71.33203125" style="30" customWidth="1"/>
    <col min="3" max="8" width="8.44140625" style="30" bestFit="1" customWidth="1"/>
    <col min="9" max="9" width="9.6640625" style="30" bestFit="1" customWidth="1"/>
    <col min="10" max="10" width="9.6640625" style="30" customWidth="1"/>
    <col min="11" max="11" width="3.77734375" style="30" customWidth="1"/>
    <col min="12" max="13" width="6.21875" style="31" bestFit="1" customWidth="1"/>
    <col min="14" max="14" width="8.5546875" style="31" bestFit="1" customWidth="1"/>
    <col min="15" max="16" width="6.21875" style="31" bestFit="1" customWidth="1"/>
    <col min="17" max="17" width="7.33203125" style="31" bestFit="1" customWidth="1"/>
    <col min="18" max="18" width="11.21875" style="31" bestFit="1" customWidth="1"/>
    <col min="19" max="19" width="11" style="31" customWidth="1"/>
    <col min="20" max="20" width="11" style="31" bestFit="1" customWidth="1"/>
    <col min="21" max="16384" width="8.88671875" style="30"/>
  </cols>
  <sheetData>
    <row r="1" spans="2:20" x14ac:dyDescent="0.25">
      <c r="B1" s="69" t="s">
        <v>149</v>
      </c>
      <c r="C1" s="36">
        <f>I1+42.04%</f>
        <v>1.4986000000000002</v>
      </c>
      <c r="D1" s="36">
        <f>I1+37.42%</f>
        <v>1.4524000000000001</v>
      </c>
      <c r="E1" s="36">
        <f>I1+28.7%</f>
        <v>1.3652</v>
      </c>
      <c r="F1" s="36">
        <f>I1+22.77%</f>
        <v>1.3059000000000001</v>
      </c>
      <c r="G1" s="36">
        <f>I1+19.39%</f>
        <v>1.2721</v>
      </c>
      <c r="H1" s="36">
        <f>I1+15.75%</f>
        <v>1.2357</v>
      </c>
      <c r="I1" s="36">
        <f>J1+7.82%</f>
        <v>1.0782</v>
      </c>
      <c r="J1" s="37">
        <v>1</v>
      </c>
    </row>
    <row r="2" spans="2:20" hidden="1" x14ac:dyDescent="0.25">
      <c r="B2" s="38"/>
      <c r="C2" s="39"/>
      <c r="D2" s="39"/>
      <c r="E2" s="39"/>
      <c r="F2" s="39"/>
      <c r="G2" s="39"/>
      <c r="H2" s="39"/>
      <c r="I2" s="39"/>
      <c r="J2" s="39"/>
      <c r="L2" s="30"/>
      <c r="M2" s="30"/>
      <c r="N2" s="30"/>
      <c r="O2" s="30"/>
      <c r="P2" s="30"/>
      <c r="Q2" s="30"/>
      <c r="R2" s="30"/>
      <c r="S2" s="30"/>
      <c r="T2" s="30"/>
    </row>
    <row r="3" spans="2:20" hidden="1" x14ac:dyDescent="0.25">
      <c r="B3" s="35" t="s">
        <v>23</v>
      </c>
      <c r="C3" s="209" t="s">
        <v>2</v>
      </c>
      <c r="D3" s="209"/>
      <c r="E3" s="209"/>
      <c r="F3" s="209"/>
      <c r="G3" s="209"/>
      <c r="H3" s="209"/>
      <c r="I3" s="209"/>
      <c r="J3" s="209"/>
      <c r="L3" s="30"/>
      <c r="M3" s="30"/>
      <c r="N3" s="30"/>
      <c r="O3" s="30"/>
      <c r="P3" s="30"/>
      <c r="Q3" s="30"/>
      <c r="R3" s="30"/>
      <c r="S3" s="30"/>
      <c r="T3" s="30"/>
    </row>
    <row r="4" spans="2:20" hidden="1" x14ac:dyDescent="0.25">
      <c r="B4" s="40" t="s">
        <v>66</v>
      </c>
      <c r="C4" s="41">
        <v>2015</v>
      </c>
      <c r="D4" s="41">
        <v>2016</v>
      </c>
      <c r="E4" s="41">
        <v>2017</v>
      </c>
      <c r="F4" s="41">
        <v>2018</v>
      </c>
      <c r="G4" s="41">
        <v>2019</v>
      </c>
      <c r="H4" s="41">
        <v>2020</v>
      </c>
      <c r="I4" s="41">
        <v>2021</v>
      </c>
      <c r="J4" s="41">
        <v>2022</v>
      </c>
      <c r="L4" s="30"/>
      <c r="M4" s="30"/>
      <c r="N4" s="30"/>
      <c r="O4" s="30"/>
      <c r="P4" s="30"/>
      <c r="Q4" s="30"/>
      <c r="R4" s="30"/>
      <c r="S4" s="30"/>
      <c r="T4" s="30"/>
    </row>
    <row r="5" spans="2:20" hidden="1" x14ac:dyDescent="0.25">
      <c r="B5" s="42" t="s">
        <v>25</v>
      </c>
      <c r="C5" s="29">
        <v>2048</v>
      </c>
      <c r="D5" s="29">
        <v>943</v>
      </c>
      <c r="E5" s="29">
        <v>1522</v>
      </c>
      <c r="F5" s="29">
        <v>1252</v>
      </c>
      <c r="G5" s="29">
        <v>984</v>
      </c>
      <c r="H5" s="29">
        <v>5445</v>
      </c>
      <c r="I5" s="29">
        <v>9101</v>
      </c>
      <c r="J5" s="29">
        <v>11566</v>
      </c>
      <c r="L5" s="30"/>
      <c r="M5" s="30"/>
      <c r="N5" s="30"/>
      <c r="O5" s="30"/>
      <c r="P5" s="30"/>
      <c r="Q5" s="30"/>
      <c r="R5" s="30"/>
      <c r="S5" s="30"/>
      <c r="T5" s="30"/>
    </row>
    <row r="6" spans="2:20" hidden="1" x14ac:dyDescent="0.25">
      <c r="B6" s="42" t="s">
        <v>26</v>
      </c>
      <c r="C6" s="29">
        <v>795</v>
      </c>
      <c r="D6" s="29">
        <v>952</v>
      </c>
      <c r="E6" s="29">
        <v>1012</v>
      </c>
      <c r="F6" s="29">
        <v>1490</v>
      </c>
      <c r="G6" s="29">
        <v>1353</v>
      </c>
      <c r="H6" s="29">
        <v>1339</v>
      </c>
      <c r="I6" s="29">
        <v>2197</v>
      </c>
      <c r="J6" s="29">
        <v>1990</v>
      </c>
      <c r="L6" s="30"/>
      <c r="M6" s="30"/>
      <c r="N6" s="30"/>
      <c r="O6" s="30"/>
      <c r="P6" s="30"/>
      <c r="Q6" s="30"/>
      <c r="R6" s="30"/>
      <c r="S6" s="30"/>
      <c r="T6" s="30"/>
    </row>
    <row r="7" spans="2:20" hidden="1" x14ac:dyDescent="0.25">
      <c r="B7" s="42" t="s">
        <v>27</v>
      </c>
      <c r="C7" s="29">
        <v>1405</v>
      </c>
      <c r="D7" s="29">
        <v>1710</v>
      </c>
      <c r="E7" s="29">
        <v>1439</v>
      </c>
      <c r="F7" s="29">
        <v>2329</v>
      </c>
      <c r="G7" s="29">
        <v>2253</v>
      </c>
      <c r="H7" s="29">
        <v>1991</v>
      </c>
      <c r="I7" s="29">
        <v>2003</v>
      </c>
      <c r="J7" s="29">
        <v>2092</v>
      </c>
      <c r="L7" s="30"/>
      <c r="M7" s="30"/>
      <c r="N7" s="30"/>
      <c r="O7" s="30"/>
      <c r="P7" s="30"/>
      <c r="Q7" s="30"/>
      <c r="R7" s="30"/>
      <c r="S7" s="30"/>
      <c r="T7" s="30"/>
    </row>
    <row r="8" spans="2:20" hidden="1" x14ac:dyDescent="0.25">
      <c r="B8" s="42" t="s">
        <v>28</v>
      </c>
      <c r="C8" s="29">
        <v>8</v>
      </c>
      <c r="D8" s="29">
        <v>22</v>
      </c>
      <c r="E8" s="29">
        <v>17</v>
      </c>
      <c r="F8" s="29">
        <v>25</v>
      </c>
      <c r="G8" s="29">
        <v>59</v>
      </c>
      <c r="H8" s="29">
        <v>34</v>
      </c>
      <c r="I8" s="29">
        <v>66</v>
      </c>
      <c r="J8" s="29">
        <v>60</v>
      </c>
      <c r="L8" s="30"/>
      <c r="M8" s="30"/>
      <c r="N8" s="30"/>
      <c r="O8" s="30"/>
      <c r="P8" s="30"/>
      <c r="Q8" s="30"/>
      <c r="R8" s="30"/>
      <c r="S8" s="30"/>
      <c r="T8" s="30"/>
    </row>
    <row r="9" spans="2:20" hidden="1" x14ac:dyDescent="0.25">
      <c r="B9" s="42" t="s">
        <v>29</v>
      </c>
      <c r="C9" s="29"/>
      <c r="D9" s="29">
        <v>22</v>
      </c>
      <c r="E9" s="29"/>
      <c r="F9" s="29">
        <v>5</v>
      </c>
      <c r="G9" s="29">
        <v>0</v>
      </c>
      <c r="H9" s="29">
        <v>0</v>
      </c>
      <c r="I9" s="29">
        <v>0</v>
      </c>
      <c r="J9" s="29">
        <v>0</v>
      </c>
      <c r="L9" s="30"/>
      <c r="M9" s="30"/>
      <c r="N9" s="30"/>
      <c r="O9" s="30"/>
      <c r="P9" s="30"/>
      <c r="Q9" s="30"/>
      <c r="R9" s="30"/>
      <c r="S9" s="30"/>
      <c r="T9" s="30"/>
    </row>
    <row r="10" spans="2:20" hidden="1" x14ac:dyDescent="0.25">
      <c r="B10" s="42" t="s">
        <v>30</v>
      </c>
      <c r="C10" s="29">
        <v>7495</v>
      </c>
      <c r="D10" s="29">
        <v>8942</v>
      </c>
      <c r="E10" s="29">
        <v>9654</v>
      </c>
      <c r="F10" s="29">
        <v>12871</v>
      </c>
      <c r="G10" s="29">
        <v>13471</v>
      </c>
      <c r="H10" s="29">
        <v>11986</v>
      </c>
      <c r="I10" s="29">
        <v>17908</v>
      </c>
      <c r="J10" s="29">
        <v>21039</v>
      </c>
      <c r="L10" s="30"/>
      <c r="M10" s="30"/>
      <c r="N10" s="30"/>
      <c r="O10" s="30"/>
      <c r="P10" s="30"/>
      <c r="Q10" s="30"/>
      <c r="R10" s="30"/>
      <c r="S10" s="30"/>
      <c r="T10" s="30"/>
    </row>
    <row r="11" spans="2:20" hidden="1" x14ac:dyDescent="0.25">
      <c r="B11" s="42" t="s">
        <v>68</v>
      </c>
      <c r="C11" s="29"/>
      <c r="D11" s="29"/>
      <c r="E11" s="29">
        <v>288</v>
      </c>
      <c r="F11" s="29">
        <v>373</v>
      </c>
      <c r="G11" s="29">
        <v>479</v>
      </c>
      <c r="H11" s="29">
        <v>483</v>
      </c>
      <c r="I11" s="29">
        <v>867</v>
      </c>
      <c r="J11" s="29">
        <v>948</v>
      </c>
      <c r="L11" s="30"/>
      <c r="M11" s="30"/>
      <c r="N11" s="30"/>
      <c r="O11" s="30"/>
      <c r="P11" s="30"/>
      <c r="Q11" s="30"/>
      <c r="R11" s="30"/>
      <c r="S11" s="30"/>
      <c r="T11" s="30"/>
    </row>
    <row r="12" spans="2:20" hidden="1" x14ac:dyDescent="0.25">
      <c r="B12" s="42" t="s">
        <v>72</v>
      </c>
      <c r="C12" s="29"/>
      <c r="D12" s="29"/>
      <c r="E12" s="29"/>
      <c r="F12" s="29"/>
      <c r="G12" s="29">
        <v>0</v>
      </c>
      <c r="H12" s="29">
        <v>0</v>
      </c>
      <c r="I12" s="29">
        <v>95</v>
      </c>
      <c r="J12" s="29">
        <v>0</v>
      </c>
      <c r="L12" s="30"/>
      <c r="M12" s="30"/>
      <c r="N12" s="30"/>
      <c r="O12" s="30"/>
      <c r="P12" s="30"/>
      <c r="Q12" s="30"/>
      <c r="R12" s="30"/>
      <c r="S12" s="30"/>
      <c r="T12" s="30"/>
    </row>
    <row r="13" spans="2:20" hidden="1" x14ac:dyDescent="0.25">
      <c r="B13" s="43" t="s">
        <v>31</v>
      </c>
      <c r="C13" s="51">
        <f t="shared" ref="C13:F13" si="0">SUM(C5:C12)</f>
        <v>11751</v>
      </c>
      <c r="D13" s="51">
        <f t="shared" si="0"/>
        <v>12591</v>
      </c>
      <c r="E13" s="51">
        <f t="shared" si="0"/>
        <v>13932</v>
      </c>
      <c r="F13" s="51">
        <f t="shared" si="0"/>
        <v>18345</v>
      </c>
      <c r="G13" s="29">
        <f>SUM(G5:G12)</f>
        <v>18599</v>
      </c>
      <c r="H13" s="29">
        <f t="shared" ref="H13:J13" si="1">SUM(H5:H12)</f>
        <v>21278</v>
      </c>
      <c r="I13" s="29">
        <f t="shared" si="1"/>
        <v>32237</v>
      </c>
      <c r="J13" s="29">
        <f t="shared" si="1"/>
        <v>37695</v>
      </c>
      <c r="L13" s="30"/>
      <c r="M13" s="30"/>
      <c r="N13" s="30"/>
      <c r="O13" s="30"/>
      <c r="P13" s="30"/>
      <c r="Q13" s="30"/>
      <c r="R13" s="30"/>
      <c r="S13" s="30"/>
      <c r="T13" s="30"/>
    </row>
    <row r="14" spans="2:20" hidden="1" x14ac:dyDescent="0.25">
      <c r="B14" s="42" t="s">
        <v>32</v>
      </c>
      <c r="C14" s="29">
        <v>28142</v>
      </c>
      <c r="D14" s="29">
        <v>29898</v>
      </c>
      <c r="E14" s="29">
        <v>30829</v>
      </c>
      <c r="F14" s="29">
        <v>53830</v>
      </c>
      <c r="G14" s="29">
        <v>32965</v>
      </c>
      <c r="H14" s="29">
        <v>32812</v>
      </c>
      <c r="I14" s="29">
        <v>42178</v>
      </c>
      <c r="J14" s="29">
        <v>42792</v>
      </c>
      <c r="L14" s="30"/>
      <c r="M14" s="30"/>
      <c r="N14" s="30"/>
      <c r="O14" s="30"/>
      <c r="P14" s="30"/>
      <c r="Q14" s="30"/>
      <c r="R14" s="30"/>
      <c r="S14" s="30"/>
      <c r="T14" s="30"/>
    </row>
    <row r="15" spans="2:20" hidden="1" x14ac:dyDescent="0.25">
      <c r="B15" s="42" t="s">
        <v>73</v>
      </c>
      <c r="C15" s="29"/>
      <c r="D15" s="29"/>
      <c r="E15" s="29"/>
      <c r="F15" s="29"/>
      <c r="G15" s="29">
        <v>19218</v>
      </c>
      <c r="H15" s="29">
        <v>19105</v>
      </c>
      <c r="I15" s="29">
        <v>41916</v>
      </c>
      <c r="J15" s="29">
        <v>38324</v>
      </c>
      <c r="L15" s="30"/>
      <c r="M15" s="30"/>
      <c r="N15" s="30"/>
      <c r="O15" s="30"/>
      <c r="P15" s="30"/>
      <c r="Q15" s="30"/>
      <c r="R15" s="30"/>
      <c r="S15" s="30"/>
      <c r="T15" s="30"/>
    </row>
    <row r="16" spans="2:20" hidden="1" x14ac:dyDescent="0.25">
      <c r="B16" s="42" t="s">
        <v>33</v>
      </c>
      <c r="C16" s="29">
        <v>5879</v>
      </c>
      <c r="D16" s="29">
        <v>6420</v>
      </c>
      <c r="E16" s="29">
        <v>6856</v>
      </c>
      <c r="F16" s="29">
        <v>8679</v>
      </c>
      <c r="G16" s="29">
        <v>9512</v>
      </c>
      <c r="H16" s="29">
        <v>9811</v>
      </c>
      <c r="I16" s="29">
        <v>10996</v>
      </c>
      <c r="J16" s="29">
        <v>11294</v>
      </c>
      <c r="L16" s="30"/>
      <c r="M16" s="30"/>
      <c r="N16" s="30"/>
      <c r="O16" s="30"/>
      <c r="P16" s="30"/>
      <c r="Q16" s="30"/>
      <c r="R16" s="30"/>
      <c r="S16" s="30"/>
      <c r="T16" s="30"/>
    </row>
    <row r="17" spans="2:20" hidden="1" x14ac:dyDescent="0.25">
      <c r="B17" s="42" t="s">
        <v>34</v>
      </c>
      <c r="C17" s="29">
        <v>19</v>
      </c>
      <c r="D17" s="29">
        <v>17</v>
      </c>
      <c r="E17" s="29">
        <v>10</v>
      </c>
      <c r="F17" s="29">
        <v>8</v>
      </c>
      <c r="G17" s="29">
        <v>6</v>
      </c>
      <c r="H17" s="29">
        <v>139</v>
      </c>
      <c r="I17" s="29">
        <v>941</v>
      </c>
      <c r="J17" s="29">
        <v>976</v>
      </c>
      <c r="L17" s="30"/>
      <c r="M17" s="30"/>
      <c r="N17" s="30"/>
      <c r="O17" s="30"/>
      <c r="P17" s="30"/>
      <c r="Q17" s="30"/>
      <c r="R17" s="30"/>
      <c r="S17" s="30"/>
      <c r="T17" s="30"/>
    </row>
    <row r="18" spans="2:20" hidden="1" x14ac:dyDescent="0.25">
      <c r="B18" s="42" t="s">
        <v>35</v>
      </c>
      <c r="C18" s="29">
        <v>94</v>
      </c>
      <c r="D18" s="29">
        <v>94</v>
      </c>
      <c r="E18" s="29">
        <v>95</v>
      </c>
      <c r="F18" s="29">
        <v>95</v>
      </c>
      <c r="G18" s="29">
        <v>471</v>
      </c>
      <c r="H18" s="29">
        <v>300</v>
      </c>
      <c r="I18" s="29">
        <v>100</v>
      </c>
      <c r="J18" s="29">
        <v>0</v>
      </c>
      <c r="L18" s="30"/>
      <c r="M18" s="30"/>
      <c r="N18" s="30"/>
      <c r="O18" s="30"/>
      <c r="P18" s="30"/>
      <c r="Q18" s="30"/>
      <c r="R18" s="30"/>
      <c r="S18" s="30"/>
      <c r="T18" s="30"/>
    </row>
    <row r="19" spans="2:20" hidden="1" x14ac:dyDescent="0.25">
      <c r="B19" s="42" t="s">
        <v>36</v>
      </c>
      <c r="C19" s="29">
        <v>2465</v>
      </c>
      <c r="D19" s="29">
        <v>2586</v>
      </c>
      <c r="E19" s="29">
        <v>2295</v>
      </c>
      <c r="F19" s="29">
        <v>5528</v>
      </c>
      <c r="G19" s="29">
        <v>5372</v>
      </c>
      <c r="H19" s="29">
        <v>5970</v>
      </c>
      <c r="I19" s="29">
        <v>12386</v>
      </c>
      <c r="J19" s="29">
        <v>11835</v>
      </c>
      <c r="L19" s="30"/>
      <c r="M19" s="30"/>
      <c r="N19" s="30"/>
      <c r="O19" s="30"/>
      <c r="P19" s="30"/>
      <c r="Q19" s="30"/>
      <c r="R19" s="30"/>
      <c r="S19" s="30"/>
      <c r="T19" s="30"/>
    </row>
    <row r="20" spans="2:20" hidden="1" x14ac:dyDescent="0.25">
      <c r="B20" s="42" t="s">
        <v>37</v>
      </c>
      <c r="C20" s="29">
        <v>37</v>
      </c>
      <c r="D20" s="29">
        <v>37</v>
      </c>
      <c r="E20" s="29">
        <v>37</v>
      </c>
      <c r="F20" s="29">
        <v>37</v>
      </c>
      <c r="G20" s="29">
        <v>37</v>
      </c>
      <c r="H20" s="29">
        <v>37</v>
      </c>
      <c r="I20" s="29">
        <v>37</v>
      </c>
      <c r="J20" s="29">
        <v>0</v>
      </c>
      <c r="L20" s="30"/>
      <c r="M20" s="30"/>
      <c r="N20" s="30"/>
      <c r="O20" s="30"/>
      <c r="P20" s="30"/>
      <c r="Q20" s="30"/>
      <c r="R20" s="30"/>
      <c r="S20" s="30"/>
      <c r="T20" s="30"/>
    </row>
    <row r="21" spans="2:20" hidden="1" x14ac:dyDescent="0.25">
      <c r="B21" s="42" t="s">
        <v>29</v>
      </c>
      <c r="C21" s="29">
        <v>77</v>
      </c>
      <c r="D21" s="29">
        <v>39</v>
      </c>
      <c r="E21" s="29">
        <v>71</v>
      </c>
      <c r="F21" s="29">
        <v>90</v>
      </c>
      <c r="G21" s="29">
        <v>13</v>
      </c>
      <c r="H21" s="29">
        <v>0</v>
      </c>
      <c r="I21" s="29">
        <v>0</v>
      </c>
      <c r="J21" s="29">
        <v>268</v>
      </c>
      <c r="L21" s="30"/>
      <c r="M21" s="30"/>
      <c r="N21" s="30"/>
      <c r="O21" s="30"/>
      <c r="P21" s="30"/>
      <c r="Q21" s="30"/>
      <c r="R21" s="30"/>
      <c r="S21" s="30"/>
      <c r="T21" s="30"/>
    </row>
    <row r="22" spans="2:20" hidden="1" x14ac:dyDescent="0.25">
      <c r="B22" s="42" t="s">
        <v>38</v>
      </c>
      <c r="C22" s="29">
        <v>2244</v>
      </c>
      <c r="D22" s="29">
        <v>1598</v>
      </c>
      <c r="E22" s="29">
        <v>882</v>
      </c>
      <c r="F22" s="29">
        <v>852</v>
      </c>
      <c r="G22" s="29">
        <v>1198</v>
      </c>
      <c r="H22" s="29">
        <v>997</v>
      </c>
      <c r="I22" s="29">
        <v>249</v>
      </c>
      <c r="J22" s="29">
        <v>255</v>
      </c>
      <c r="L22" s="30"/>
      <c r="M22" s="30"/>
      <c r="N22" s="30"/>
      <c r="O22" s="30"/>
      <c r="P22" s="30"/>
      <c r="Q22" s="30"/>
      <c r="R22" s="30"/>
      <c r="S22" s="30"/>
      <c r="T22" s="30"/>
    </row>
    <row r="23" spans="2:20" hidden="1" x14ac:dyDescent="0.25">
      <c r="B23" s="43" t="s">
        <v>39</v>
      </c>
      <c r="C23" s="53">
        <f>SUM(C13:C22)</f>
        <v>50708</v>
      </c>
      <c r="D23" s="54">
        <f t="shared" ref="D23:E23" si="2">SUM(D13:D22)</f>
        <v>53280</v>
      </c>
      <c r="E23" s="54">
        <f t="shared" si="2"/>
        <v>55007</v>
      </c>
      <c r="F23" s="54">
        <f>SUM(F13:F22)</f>
        <v>87464</v>
      </c>
      <c r="G23" s="54">
        <f t="shared" ref="G23:J23" si="3">SUM(G13:G22)</f>
        <v>87391</v>
      </c>
      <c r="H23" s="54">
        <f t="shared" si="3"/>
        <v>90449</v>
      </c>
      <c r="I23" s="53">
        <f t="shared" si="3"/>
        <v>141040</v>
      </c>
      <c r="J23" s="53">
        <f t="shared" si="3"/>
        <v>143439</v>
      </c>
      <c r="L23" s="30"/>
      <c r="M23" s="30"/>
      <c r="N23" s="30"/>
      <c r="O23" s="30"/>
      <c r="P23" s="30"/>
      <c r="Q23" s="30"/>
      <c r="R23" s="30"/>
      <c r="S23" s="30"/>
      <c r="T23" s="30"/>
    </row>
    <row r="24" spans="2:20" hidden="1" x14ac:dyDescent="0.25">
      <c r="B24" s="43" t="s">
        <v>40</v>
      </c>
      <c r="C24" s="29"/>
      <c r="D24" s="29"/>
      <c r="E24" s="29"/>
      <c r="F24" s="29"/>
      <c r="G24" s="29"/>
      <c r="H24" s="29"/>
      <c r="I24" s="29"/>
      <c r="J24" s="29"/>
      <c r="L24" s="30"/>
      <c r="M24" s="30"/>
      <c r="N24" s="30"/>
      <c r="O24" s="30"/>
      <c r="P24" s="30"/>
      <c r="Q24" s="30"/>
      <c r="R24" s="30"/>
      <c r="S24" s="30"/>
      <c r="T24" s="30"/>
    </row>
    <row r="25" spans="2:20" hidden="1" x14ac:dyDescent="0.25">
      <c r="B25" s="42" t="s">
        <v>41</v>
      </c>
      <c r="C25" s="29">
        <v>12935</v>
      </c>
      <c r="D25" s="29">
        <v>14018</v>
      </c>
      <c r="E25" s="29">
        <v>14597</v>
      </c>
      <c r="F25" s="29">
        <v>18798</v>
      </c>
      <c r="G25" s="29">
        <v>17451</v>
      </c>
      <c r="H25" s="29">
        <v>18451</v>
      </c>
      <c r="I25" s="29">
        <v>26284</v>
      </c>
      <c r="J25" s="29">
        <v>29749</v>
      </c>
      <c r="L25" s="30"/>
      <c r="M25" s="30"/>
      <c r="N25" s="30"/>
      <c r="O25" s="30"/>
      <c r="P25" s="30"/>
      <c r="Q25" s="30"/>
      <c r="R25" s="30"/>
      <c r="S25" s="30"/>
      <c r="T25" s="30"/>
    </row>
    <row r="26" spans="2:20" hidden="1" x14ac:dyDescent="0.25">
      <c r="B26" s="42" t="s">
        <v>69</v>
      </c>
      <c r="C26" s="29"/>
      <c r="D26" s="29"/>
      <c r="E26" s="29"/>
      <c r="F26" s="29"/>
      <c r="G26" s="29">
        <v>995</v>
      </c>
      <c r="H26" s="29">
        <v>1042</v>
      </c>
      <c r="I26" s="29">
        <v>1120</v>
      </c>
      <c r="J26" s="29">
        <v>903</v>
      </c>
      <c r="L26" s="30"/>
      <c r="M26" s="30"/>
      <c r="N26" s="30"/>
      <c r="O26" s="30"/>
      <c r="P26" s="30"/>
      <c r="Q26" s="30"/>
      <c r="R26" s="30"/>
      <c r="S26" s="30"/>
      <c r="T26" s="30"/>
    </row>
    <row r="27" spans="2:20" hidden="1" x14ac:dyDescent="0.25">
      <c r="B27" s="42" t="s">
        <v>42</v>
      </c>
      <c r="C27" s="29">
        <v>0</v>
      </c>
      <c r="D27" s="29">
        <v>205</v>
      </c>
      <c r="E27" s="29">
        <v>150</v>
      </c>
      <c r="F27" s="29">
        <v>73</v>
      </c>
      <c r="G27" s="29">
        <v>1207</v>
      </c>
      <c r="H27" s="29">
        <v>2000</v>
      </c>
      <c r="I27" s="29">
        <v>0</v>
      </c>
      <c r="J27" s="29">
        <v>0</v>
      </c>
      <c r="L27" s="30"/>
      <c r="M27" s="30"/>
      <c r="N27" s="30"/>
      <c r="O27" s="30"/>
      <c r="P27" s="30"/>
      <c r="Q27" s="30"/>
      <c r="R27" s="30"/>
      <c r="S27" s="30"/>
      <c r="T27" s="30"/>
    </row>
    <row r="28" spans="2:20" hidden="1" x14ac:dyDescent="0.25">
      <c r="B28" s="42" t="s">
        <v>43</v>
      </c>
      <c r="C28" s="29">
        <v>1960</v>
      </c>
      <c r="D28" s="29">
        <v>1107</v>
      </c>
      <c r="E28" s="29">
        <v>439</v>
      </c>
      <c r="F28" s="29">
        <v>338</v>
      </c>
      <c r="G28" s="29">
        <v>561</v>
      </c>
      <c r="H28" s="29">
        <v>1162</v>
      </c>
      <c r="I28" s="29">
        <v>177</v>
      </c>
      <c r="J28" s="29">
        <v>0</v>
      </c>
      <c r="L28" s="30"/>
      <c r="M28" s="30"/>
      <c r="N28" s="30"/>
      <c r="O28" s="30"/>
      <c r="P28" s="30"/>
      <c r="Q28" s="30"/>
      <c r="R28" s="30"/>
      <c r="S28" s="30"/>
      <c r="T28" s="30"/>
    </row>
    <row r="29" spans="2:20" hidden="1" x14ac:dyDescent="0.25">
      <c r="B29" s="42" t="s">
        <v>44</v>
      </c>
      <c r="C29" s="29">
        <v>117</v>
      </c>
      <c r="D29" s="29">
        <v>64</v>
      </c>
      <c r="E29" s="29">
        <v>80</v>
      </c>
      <c r="F29" s="29">
        <v>575</v>
      </c>
      <c r="G29" s="29">
        <v>560</v>
      </c>
      <c r="H29" s="29">
        <v>602</v>
      </c>
      <c r="I29" s="29">
        <v>2177</v>
      </c>
      <c r="J29" s="29">
        <v>2329</v>
      </c>
      <c r="L29" s="30"/>
      <c r="M29" s="30"/>
      <c r="N29" s="30"/>
      <c r="O29" s="30"/>
      <c r="P29" s="30"/>
      <c r="Q29" s="30"/>
      <c r="R29" s="30"/>
      <c r="S29" s="30"/>
      <c r="T29" s="30"/>
    </row>
    <row r="30" spans="2:20" hidden="1" x14ac:dyDescent="0.25">
      <c r="B30" s="42" t="s">
        <v>70</v>
      </c>
      <c r="C30" s="29"/>
      <c r="D30" s="29"/>
      <c r="E30" s="29">
        <v>113</v>
      </c>
      <c r="F30" s="29">
        <v>122</v>
      </c>
      <c r="G30" s="29">
        <v>75</v>
      </c>
      <c r="H30" s="29">
        <v>0</v>
      </c>
      <c r="I30" s="29">
        <v>0</v>
      </c>
      <c r="J30" s="29">
        <v>0</v>
      </c>
      <c r="L30" s="30"/>
      <c r="M30" s="30"/>
      <c r="N30" s="30"/>
      <c r="O30" s="30"/>
      <c r="P30" s="30"/>
      <c r="Q30" s="30"/>
      <c r="R30" s="30"/>
      <c r="S30" s="30"/>
      <c r="T30" s="30"/>
    </row>
    <row r="31" spans="2:20" hidden="1" x14ac:dyDescent="0.25">
      <c r="B31" s="42" t="s">
        <v>29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55</v>
      </c>
      <c r="I31" s="29">
        <v>0</v>
      </c>
      <c r="J31" s="29">
        <v>0</v>
      </c>
      <c r="L31" s="30"/>
      <c r="M31" s="30"/>
      <c r="N31" s="30"/>
      <c r="O31" s="30"/>
      <c r="P31" s="30"/>
      <c r="Q31" s="30"/>
      <c r="R31" s="30"/>
      <c r="S31" s="30"/>
      <c r="T31" s="30"/>
    </row>
    <row r="32" spans="2:20" hidden="1" x14ac:dyDescent="0.25">
      <c r="B32" s="42" t="s">
        <v>46</v>
      </c>
      <c r="C32" s="29">
        <v>2981</v>
      </c>
      <c r="D32" s="29">
        <v>3026</v>
      </c>
      <c r="E32" s="29">
        <v>3246</v>
      </c>
      <c r="F32" s="29">
        <v>3699</v>
      </c>
      <c r="G32" s="29">
        <v>3546</v>
      </c>
      <c r="H32" s="29">
        <v>3863</v>
      </c>
      <c r="I32" s="29">
        <v>7761</v>
      </c>
      <c r="J32" s="29">
        <v>8780</v>
      </c>
      <c r="L32" s="30"/>
      <c r="M32" s="30"/>
      <c r="N32" s="30"/>
      <c r="O32" s="30"/>
      <c r="P32" s="30"/>
      <c r="Q32" s="30"/>
      <c r="R32" s="30"/>
      <c r="S32" s="30"/>
      <c r="T32" s="30"/>
    </row>
    <row r="33" spans="1:20" hidden="1" x14ac:dyDescent="0.25">
      <c r="B33" s="42" t="s">
        <v>71</v>
      </c>
      <c r="C33" s="29"/>
      <c r="D33" s="29"/>
      <c r="E33" s="29"/>
      <c r="F33" s="29">
        <v>432</v>
      </c>
      <c r="G33" s="29">
        <v>574</v>
      </c>
      <c r="H33" s="29">
        <v>573</v>
      </c>
      <c r="I33" s="29">
        <v>1025</v>
      </c>
      <c r="J33" s="29">
        <v>1380</v>
      </c>
      <c r="L33" s="30"/>
      <c r="M33" s="30"/>
      <c r="N33" s="30"/>
      <c r="O33" s="30"/>
      <c r="P33" s="30"/>
      <c r="Q33" s="30"/>
      <c r="R33" s="30"/>
      <c r="S33" s="30"/>
      <c r="T33" s="30"/>
    </row>
    <row r="34" spans="1:20" hidden="1" x14ac:dyDescent="0.25">
      <c r="B34" s="43" t="s">
        <v>45</v>
      </c>
      <c r="C34" s="51">
        <f>SUM(C25:C32)</f>
        <v>17993</v>
      </c>
      <c r="D34" s="51">
        <f>SUM(D25:D32)</f>
        <v>18420</v>
      </c>
      <c r="E34" s="51">
        <f>SUM(E25:E32)</f>
        <v>18625</v>
      </c>
      <c r="F34" s="29">
        <f>SUM(F25:F33)</f>
        <v>24037</v>
      </c>
      <c r="G34" s="29">
        <f>SUM(G25:G33)</f>
        <v>24969</v>
      </c>
      <c r="H34" s="29">
        <f>SUM(H25:H33)</f>
        <v>27748</v>
      </c>
      <c r="I34" s="29">
        <f>SUM(I25:I33)</f>
        <v>38544</v>
      </c>
      <c r="J34" s="29">
        <v>43141</v>
      </c>
      <c r="L34" s="30"/>
      <c r="M34" s="30"/>
      <c r="N34" s="30"/>
      <c r="O34" s="30"/>
      <c r="P34" s="30"/>
      <c r="Q34" s="30"/>
      <c r="R34" s="30"/>
      <c r="S34" s="30"/>
      <c r="T34" s="30"/>
    </row>
    <row r="35" spans="1:20" hidden="1" x14ac:dyDescent="0.25">
      <c r="B35" s="42" t="s">
        <v>47</v>
      </c>
      <c r="C35" s="29">
        <v>2893</v>
      </c>
      <c r="D35" s="29">
        <v>3927</v>
      </c>
      <c r="E35" s="29">
        <v>4476</v>
      </c>
      <c r="F35" s="29">
        <v>9716</v>
      </c>
      <c r="G35" s="29">
        <v>8733</v>
      </c>
      <c r="H35" s="29">
        <v>6186</v>
      </c>
      <c r="I35" s="29">
        <v>17391</v>
      </c>
      <c r="J35" s="29">
        <v>12682</v>
      </c>
      <c r="L35" s="30"/>
      <c r="M35" s="30"/>
      <c r="N35" s="30"/>
      <c r="O35" s="30"/>
      <c r="P35" s="30"/>
      <c r="Q35" s="30"/>
      <c r="R35" s="30"/>
      <c r="S35" s="30"/>
      <c r="T35" s="30"/>
    </row>
    <row r="36" spans="1:20" hidden="1" x14ac:dyDescent="0.25">
      <c r="B36" s="42" t="s">
        <v>48</v>
      </c>
      <c r="C36" s="29">
        <v>478</v>
      </c>
      <c r="D36" s="29">
        <v>454</v>
      </c>
      <c r="E36" s="29">
        <v>538</v>
      </c>
      <c r="F36" s="29">
        <v>609</v>
      </c>
      <c r="G36" s="29">
        <v>892</v>
      </c>
      <c r="H36" s="29">
        <v>1073</v>
      </c>
      <c r="I36" s="29">
        <v>2869</v>
      </c>
      <c r="J36" s="29">
        <v>2292</v>
      </c>
      <c r="L36" s="30"/>
      <c r="M36" s="30"/>
      <c r="N36" s="30"/>
      <c r="O36" s="30"/>
      <c r="P36" s="30"/>
      <c r="Q36" s="30"/>
      <c r="R36" s="30"/>
      <c r="S36" s="30"/>
      <c r="T36" s="30"/>
    </row>
    <row r="37" spans="1:20" hidden="1" x14ac:dyDescent="0.25">
      <c r="B37" s="42" t="s">
        <v>49</v>
      </c>
      <c r="C37" s="29">
        <v>100</v>
      </c>
      <c r="D37" s="29">
        <v>0</v>
      </c>
      <c r="E37" s="29"/>
      <c r="F37" s="29">
        <v>0</v>
      </c>
      <c r="G37" s="29">
        <v>35</v>
      </c>
      <c r="H37" s="29">
        <v>253</v>
      </c>
      <c r="I37" s="29">
        <v>45</v>
      </c>
      <c r="J37" s="29">
        <v>0</v>
      </c>
      <c r="L37" s="30"/>
      <c r="M37" s="30"/>
      <c r="N37" s="30"/>
      <c r="O37" s="30"/>
      <c r="P37" s="30"/>
      <c r="Q37" s="30"/>
      <c r="R37" s="30"/>
      <c r="S37" s="30"/>
      <c r="T37" s="30"/>
    </row>
    <row r="38" spans="1:20" hidden="1" x14ac:dyDescent="0.25">
      <c r="B38" s="42" t="s">
        <v>50</v>
      </c>
      <c r="C38" s="29"/>
      <c r="D38" s="29"/>
      <c r="E38" s="29"/>
      <c r="F38" s="29"/>
      <c r="G38" s="29"/>
      <c r="H38" s="29"/>
      <c r="I38" s="29"/>
      <c r="J38" s="29"/>
      <c r="L38" s="30"/>
      <c r="M38" s="30"/>
      <c r="N38" s="30"/>
      <c r="O38" s="30"/>
      <c r="P38" s="30"/>
      <c r="Q38" s="30"/>
      <c r="R38" s="30"/>
      <c r="S38" s="30"/>
      <c r="T38" s="30"/>
    </row>
    <row r="39" spans="1:20" hidden="1" x14ac:dyDescent="0.25">
      <c r="B39" s="42" t="s">
        <v>51</v>
      </c>
      <c r="C39" s="29">
        <v>839</v>
      </c>
      <c r="D39" s="29">
        <v>742</v>
      </c>
      <c r="E39" s="29">
        <v>521</v>
      </c>
      <c r="F39" s="29">
        <v>405</v>
      </c>
      <c r="G39" s="29">
        <v>315</v>
      </c>
      <c r="H39" s="29">
        <v>0</v>
      </c>
      <c r="I39" s="29">
        <v>0</v>
      </c>
      <c r="J39" s="29">
        <v>0</v>
      </c>
      <c r="L39" s="30"/>
      <c r="M39" s="30"/>
      <c r="N39" s="30"/>
      <c r="O39" s="30"/>
      <c r="P39" s="30"/>
      <c r="Q39" s="30"/>
      <c r="R39" s="30"/>
      <c r="S39" s="30"/>
      <c r="T39" s="30"/>
    </row>
    <row r="40" spans="1:20" hidden="1" x14ac:dyDescent="0.25">
      <c r="B40" s="42" t="s">
        <v>52</v>
      </c>
      <c r="C40" s="29">
        <v>152</v>
      </c>
      <c r="D40" s="29">
        <v>137</v>
      </c>
      <c r="E40" s="29">
        <v>153</v>
      </c>
      <c r="F40" s="29">
        <v>22572</v>
      </c>
      <c r="G40" s="29">
        <v>21761</v>
      </c>
      <c r="H40" s="29">
        <v>22331</v>
      </c>
      <c r="I40" s="29">
        <v>44597</v>
      </c>
      <c r="J40" s="29">
        <v>41622</v>
      </c>
      <c r="L40" s="30"/>
      <c r="M40" s="30"/>
      <c r="N40" s="30"/>
      <c r="O40" s="30"/>
      <c r="P40" s="30"/>
      <c r="Q40" s="30"/>
      <c r="R40" s="30"/>
      <c r="S40" s="30"/>
      <c r="T40" s="30"/>
    </row>
    <row r="41" spans="1:20" hidden="1" x14ac:dyDescent="0.25">
      <c r="B41" s="42" t="s">
        <v>53</v>
      </c>
      <c r="C41" s="29">
        <v>1476</v>
      </c>
      <c r="D41" s="29">
        <v>1724</v>
      </c>
      <c r="E41" s="29">
        <v>1801</v>
      </c>
      <c r="F41" s="29">
        <v>2858</v>
      </c>
      <c r="G41" s="29">
        <v>2856</v>
      </c>
      <c r="H41" s="29">
        <v>2608</v>
      </c>
      <c r="I41" s="29">
        <v>2625</v>
      </c>
      <c r="J41" s="29">
        <v>2069</v>
      </c>
      <c r="L41" s="30"/>
      <c r="M41" s="30"/>
      <c r="N41" s="30"/>
      <c r="O41" s="30"/>
      <c r="P41" s="30"/>
      <c r="Q41" s="30"/>
      <c r="R41" s="30"/>
      <c r="S41" s="30"/>
      <c r="T41" s="30"/>
    </row>
    <row r="42" spans="1:20" hidden="1" x14ac:dyDescent="0.25">
      <c r="B42" s="42" t="s">
        <v>54</v>
      </c>
      <c r="C42" s="29">
        <v>1327</v>
      </c>
      <c r="D42" s="29">
        <v>494</v>
      </c>
      <c r="E42" s="29">
        <v>0</v>
      </c>
      <c r="F42" s="29"/>
      <c r="G42" s="29"/>
      <c r="H42" s="29"/>
      <c r="I42" s="29"/>
      <c r="L42" s="30"/>
      <c r="M42" s="30"/>
      <c r="N42" s="30"/>
      <c r="O42" s="30"/>
      <c r="P42" s="30"/>
      <c r="Q42" s="30"/>
      <c r="R42" s="30"/>
      <c r="S42" s="30"/>
      <c r="T42" s="30"/>
    </row>
    <row r="43" spans="1:20" hidden="1" x14ac:dyDescent="0.25">
      <c r="A43" s="29"/>
      <c r="B43" s="42" t="s">
        <v>55</v>
      </c>
      <c r="C43" s="29">
        <v>361</v>
      </c>
      <c r="D43" s="29">
        <v>445</v>
      </c>
      <c r="E43" s="29">
        <v>459</v>
      </c>
      <c r="F43" s="29">
        <v>439</v>
      </c>
      <c r="G43" s="29">
        <v>421</v>
      </c>
      <c r="H43" s="29">
        <v>970</v>
      </c>
      <c r="I43" s="29">
        <v>2308</v>
      </c>
      <c r="J43" s="29">
        <v>2265</v>
      </c>
      <c r="L43" s="30"/>
      <c r="M43" s="30"/>
      <c r="N43" s="30"/>
      <c r="O43" s="30"/>
      <c r="P43" s="30"/>
      <c r="Q43" s="30"/>
      <c r="R43" s="30"/>
      <c r="S43" s="30"/>
      <c r="T43" s="30"/>
    </row>
    <row r="44" spans="1:20" hidden="1" x14ac:dyDescent="0.25">
      <c r="A44" s="29"/>
      <c r="B44" s="43" t="s">
        <v>56</v>
      </c>
      <c r="C44" s="29">
        <f>SUM(C34:C43)</f>
        <v>25619</v>
      </c>
      <c r="D44" s="51">
        <f>SUM(D34:D43)</f>
        <v>26343</v>
      </c>
      <c r="E44" s="51">
        <f>SUM(E34:E43)</f>
        <v>26573</v>
      </c>
      <c r="F44" s="29">
        <f>SUM(F34:F43)</f>
        <v>60636</v>
      </c>
      <c r="G44" s="29">
        <f t="shared" ref="G44:J44" si="4">SUM(G34:G43)</f>
        <v>59982</v>
      </c>
      <c r="H44" s="51">
        <f t="shared" si="4"/>
        <v>61169</v>
      </c>
      <c r="I44" s="29">
        <f t="shared" si="4"/>
        <v>108379</v>
      </c>
      <c r="J44" s="29">
        <f t="shared" si="4"/>
        <v>104071</v>
      </c>
      <c r="L44" s="30"/>
      <c r="M44" s="30"/>
      <c r="N44" s="30"/>
      <c r="O44" s="30"/>
      <c r="P44" s="30"/>
      <c r="Q44" s="30"/>
      <c r="R44" s="30"/>
      <c r="S44" s="30"/>
      <c r="T44" s="30"/>
    </row>
    <row r="45" spans="1:20" hidden="1" x14ac:dyDescent="0.25">
      <c r="B45" s="43" t="s">
        <v>57</v>
      </c>
      <c r="C45" s="51">
        <f t="shared" ref="C45:E45" si="5">C52+C53</f>
        <v>25090</v>
      </c>
      <c r="D45" s="29">
        <f t="shared" si="5"/>
        <v>26938</v>
      </c>
      <c r="E45" s="51">
        <f t="shared" si="5"/>
        <v>28433</v>
      </c>
      <c r="F45" s="29">
        <f>F52+F53</f>
        <v>26827</v>
      </c>
      <c r="G45" s="29">
        <f t="shared" ref="G45:J45" si="6">G52+G53</f>
        <v>27410</v>
      </c>
      <c r="H45" s="51">
        <f t="shared" si="6"/>
        <v>29282</v>
      </c>
      <c r="I45" s="29">
        <f t="shared" si="6"/>
        <v>32660</v>
      </c>
      <c r="J45" s="29">
        <f t="shared" si="6"/>
        <v>39367</v>
      </c>
      <c r="K45" s="29"/>
      <c r="L45" s="30"/>
      <c r="M45" s="30"/>
      <c r="N45" s="30"/>
      <c r="O45" s="30"/>
      <c r="P45" s="30"/>
      <c r="Q45" s="30"/>
      <c r="R45" s="30"/>
      <c r="S45" s="30"/>
      <c r="T45" s="30"/>
    </row>
    <row r="46" spans="1:20" hidden="1" x14ac:dyDescent="0.25">
      <c r="B46" s="42" t="s">
        <v>58</v>
      </c>
      <c r="C46" s="29">
        <v>252</v>
      </c>
      <c r="D46" s="29">
        <v>252</v>
      </c>
      <c r="E46" s="29">
        <v>252</v>
      </c>
      <c r="F46" s="29">
        <v>252</v>
      </c>
      <c r="G46" s="29">
        <v>252</v>
      </c>
      <c r="H46" s="29">
        <v>252</v>
      </c>
      <c r="I46" s="29">
        <v>252</v>
      </c>
      <c r="J46" s="29">
        <v>252</v>
      </c>
      <c r="L46" s="30"/>
      <c r="M46" s="30"/>
      <c r="N46" s="30"/>
      <c r="O46" s="30"/>
      <c r="P46" s="30"/>
      <c r="Q46" s="30"/>
      <c r="R46" s="30"/>
      <c r="S46" s="30"/>
      <c r="T46" s="30"/>
    </row>
    <row r="47" spans="1:20" hidden="1" x14ac:dyDescent="0.25">
      <c r="B47" s="42" t="s">
        <v>59</v>
      </c>
      <c r="C47" s="29">
        <v>20315</v>
      </c>
      <c r="D47" s="29">
        <v>21940</v>
      </c>
      <c r="E47" s="29">
        <v>23668</v>
      </c>
      <c r="F47" s="29">
        <v>22369</v>
      </c>
      <c r="G47" s="29">
        <v>23377</v>
      </c>
      <c r="H47" s="29">
        <v>25577</v>
      </c>
      <c r="I47" s="29">
        <v>28498</v>
      </c>
      <c r="J47" s="29">
        <v>34032</v>
      </c>
      <c r="L47" s="30"/>
      <c r="M47" s="30"/>
      <c r="N47" s="30"/>
      <c r="O47" s="30"/>
      <c r="P47" s="30"/>
      <c r="Q47" s="30"/>
      <c r="R47" s="30"/>
      <c r="S47" s="30"/>
      <c r="T47" s="30"/>
    </row>
    <row r="48" spans="1:20" hidden="1" x14ac:dyDescent="0.25">
      <c r="B48" s="42" t="s">
        <v>60</v>
      </c>
      <c r="C48" s="29">
        <v>-34</v>
      </c>
      <c r="D48" s="29">
        <v>-27</v>
      </c>
      <c r="E48" s="29">
        <v>-53</v>
      </c>
      <c r="F48" s="29">
        <v>-57</v>
      </c>
      <c r="G48" s="29">
        <v>-185</v>
      </c>
      <c r="H48" s="29">
        <v>-242</v>
      </c>
      <c r="I48" s="29">
        <v>-168</v>
      </c>
      <c r="J48" s="29">
        <v>390</v>
      </c>
      <c r="L48" s="30"/>
      <c r="M48" s="30"/>
      <c r="N48" s="30"/>
      <c r="O48" s="30"/>
      <c r="P48" s="30"/>
      <c r="Q48" s="30"/>
      <c r="R48" s="30"/>
      <c r="S48" s="30"/>
      <c r="T48" s="30"/>
    </row>
    <row r="49" spans="2:20" hidden="1" x14ac:dyDescent="0.25">
      <c r="B49" s="42" t="s">
        <v>61</v>
      </c>
      <c r="C49" s="29">
        <v>-71</v>
      </c>
      <c r="D49" s="29">
        <v>2</v>
      </c>
      <c r="E49" s="29">
        <v>57</v>
      </c>
      <c r="F49" s="29">
        <v>74</v>
      </c>
      <c r="G49" s="29">
        <v>-11</v>
      </c>
      <c r="H49" s="29">
        <v>-210</v>
      </c>
      <c r="I49" s="29">
        <v>-30</v>
      </c>
      <c r="J49" s="29">
        <v>178</v>
      </c>
      <c r="L49" s="30"/>
      <c r="M49" s="30"/>
      <c r="N49" s="30"/>
      <c r="O49" s="30"/>
      <c r="P49" s="30"/>
      <c r="Q49" s="30"/>
      <c r="R49" s="30"/>
      <c r="S49" s="30"/>
      <c r="T49" s="30"/>
    </row>
    <row r="50" spans="2:20" hidden="1" x14ac:dyDescent="0.25">
      <c r="B50" s="42" t="s">
        <v>62</v>
      </c>
      <c r="C50" s="29">
        <v>375</v>
      </c>
      <c r="D50" s="29">
        <v>692</v>
      </c>
      <c r="E50" s="29">
        <v>613</v>
      </c>
      <c r="F50" s="29">
        <v>561</v>
      </c>
      <c r="G50" s="29">
        <v>466</v>
      </c>
      <c r="H50" s="29">
        <v>438</v>
      </c>
      <c r="I50" s="29">
        <v>464</v>
      </c>
      <c r="J50" s="29">
        <v>424</v>
      </c>
      <c r="L50" s="30"/>
      <c r="M50" s="30"/>
      <c r="N50" s="30"/>
      <c r="O50" s="30"/>
      <c r="P50" s="30"/>
      <c r="Q50" s="30"/>
      <c r="R50" s="30"/>
      <c r="S50" s="30"/>
      <c r="T50" s="30"/>
    </row>
    <row r="51" spans="2:20" hidden="1" x14ac:dyDescent="0.25">
      <c r="B51" s="42" t="s">
        <v>67</v>
      </c>
      <c r="C51" s="29">
        <v>3953</v>
      </c>
      <c r="D51" s="29">
        <v>3751</v>
      </c>
      <c r="E51" s="29">
        <v>3612</v>
      </c>
      <c r="F51" s="29">
        <v>3545</v>
      </c>
      <c r="G51" s="29">
        <v>3499</v>
      </c>
      <c r="H51" s="29">
        <v>3474</v>
      </c>
      <c r="I51" s="29">
        <v>3527</v>
      </c>
      <c r="J51" s="29">
        <v>3799</v>
      </c>
      <c r="L51" s="30"/>
      <c r="M51" s="30"/>
      <c r="N51" s="30"/>
      <c r="O51" s="30"/>
      <c r="P51" s="30"/>
      <c r="Q51" s="30"/>
      <c r="R51" s="30"/>
      <c r="S51" s="30"/>
      <c r="T51" s="30"/>
    </row>
    <row r="52" spans="2:20" hidden="1" x14ac:dyDescent="0.25">
      <c r="B52" s="42" t="s">
        <v>63</v>
      </c>
      <c r="C52" s="29">
        <v>24790</v>
      </c>
      <c r="D52" s="29">
        <v>26610</v>
      </c>
      <c r="E52" s="29">
        <v>28150</v>
      </c>
      <c r="F52" s="29">
        <v>26745</v>
      </c>
      <c r="G52" s="29">
        <v>27398</v>
      </c>
      <c r="H52" s="29">
        <v>29289</v>
      </c>
      <c r="I52" s="29">
        <v>32543</v>
      </c>
      <c r="J52" s="29">
        <v>39074</v>
      </c>
    </row>
    <row r="53" spans="2:20" hidden="1" x14ac:dyDescent="0.25">
      <c r="B53" s="42" t="s">
        <v>64</v>
      </c>
      <c r="C53" s="29">
        <v>300</v>
      </c>
      <c r="D53" s="29">
        <v>328</v>
      </c>
      <c r="E53" s="29">
        <v>283</v>
      </c>
      <c r="F53" s="29">
        <v>82</v>
      </c>
      <c r="G53" s="29">
        <v>12</v>
      </c>
      <c r="H53" s="29">
        <v>-7</v>
      </c>
      <c r="I53" s="29">
        <v>117</v>
      </c>
      <c r="J53" s="29">
        <v>293</v>
      </c>
    </row>
    <row r="54" spans="2:20" hidden="1" x14ac:dyDescent="0.25">
      <c r="B54" s="43" t="s">
        <v>65</v>
      </c>
      <c r="C54" s="54">
        <f>SUM(C44:C45)</f>
        <v>50709</v>
      </c>
      <c r="D54" s="54">
        <f t="shared" ref="D54:J54" si="7">SUM(D44:D45)</f>
        <v>53281</v>
      </c>
      <c r="E54" s="53">
        <f t="shared" si="7"/>
        <v>55006</v>
      </c>
      <c r="F54" s="53">
        <f t="shared" si="7"/>
        <v>87463</v>
      </c>
      <c r="G54" s="53">
        <f t="shared" si="7"/>
        <v>87392</v>
      </c>
      <c r="H54" s="53">
        <f t="shared" si="7"/>
        <v>90451</v>
      </c>
      <c r="I54" s="53">
        <f t="shared" si="7"/>
        <v>141039</v>
      </c>
      <c r="J54" s="53">
        <f t="shared" si="7"/>
        <v>143438</v>
      </c>
    </row>
    <row r="55" spans="2:20" ht="14.4" hidden="1" x14ac:dyDescent="0.3">
      <c r="C55" s="56">
        <f>ABS(C54-C23)</f>
        <v>1</v>
      </c>
      <c r="D55" s="56">
        <f t="shared" ref="D55:J55" si="8">ABS(D54-D23)</f>
        <v>1</v>
      </c>
      <c r="E55" s="56">
        <f t="shared" si="8"/>
        <v>1</v>
      </c>
      <c r="F55" s="56">
        <f t="shared" si="8"/>
        <v>1</v>
      </c>
      <c r="G55" s="56">
        <f t="shared" si="8"/>
        <v>1</v>
      </c>
      <c r="H55" s="56">
        <f t="shared" si="8"/>
        <v>2</v>
      </c>
      <c r="I55" s="56">
        <f t="shared" si="8"/>
        <v>1</v>
      </c>
      <c r="J55" s="56">
        <f t="shared" si="8"/>
        <v>1</v>
      </c>
      <c r="K55" s="57"/>
      <c r="L55" s="58"/>
    </row>
    <row r="56" spans="2:20" x14ac:dyDescent="0.25">
      <c r="Q56" s="55"/>
      <c r="R56" s="147"/>
    </row>
    <row r="58" spans="2:20" ht="18.600000000000001" x14ac:dyDescent="0.35">
      <c r="B58" s="4" t="s">
        <v>23</v>
      </c>
      <c r="C58" s="210" t="s">
        <v>2</v>
      </c>
      <c r="D58" s="210"/>
      <c r="E58" s="210"/>
      <c r="F58" s="210"/>
      <c r="G58" s="210"/>
      <c r="H58" s="210"/>
      <c r="I58" s="210"/>
      <c r="J58" s="210"/>
      <c r="L58" s="208" t="s">
        <v>112</v>
      </c>
      <c r="M58" s="208"/>
      <c r="N58" s="208"/>
      <c r="O58" s="208"/>
      <c r="P58" s="208"/>
      <c r="Q58" s="208"/>
      <c r="R58" s="208"/>
      <c r="S58" s="208"/>
      <c r="T58" s="208"/>
    </row>
    <row r="59" spans="2:20" x14ac:dyDescent="0.25">
      <c r="B59" s="17" t="s">
        <v>66</v>
      </c>
      <c r="C59" s="6">
        <v>2015</v>
      </c>
      <c r="D59" s="6">
        <v>2016</v>
      </c>
      <c r="E59" s="6">
        <v>2017</v>
      </c>
      <c r="F59" s="6">
        <v>2018</v>
      </c>
      <c r="G59" s="6">
        <v>2019</v>
      </c>
      <c r="H59" s="6">
        <v>2020</v>
      </c>
      <c r="I59" s="6">
        <v>2021</v>
      </c>
      <c r="J59" s="6">
        <v>2022</v>
      </c>
      <c r="L59" s="84">
        <f>C59</f>
        <v>2015</v>
      </c>
      <c r="M59" s="84">
        <f t="shared" ref="M59:S59" si="9">D59</f>
        <v>2016</v>
      </c>
      <c r="N59" s="84">
        <f t="shared" si="9"/>
        <v>2017</v>
      </c>
      <c r="O59" s="84">
        <f t="shared" si="9"/>
        <v>2018</v>
      </c>
      <c r="P59" s="84">
        <f t="shared" si="9"/>
        <v>2019</v>
      </c>
      <c r="Q59" s="84">
        <f t="shared" si="9"/>
        <v>2020</v>
      </c>
      <c r="R59" s="84">
        <f t="shared" si="9"/>
        <v>2021</v>
      </c>
      <c r="S59" s="84">
        <f t="shared" si="9"/>
        <v>2022</v>
      </c>
      <c r="T59" s="84" t="s">
        <v>131</v>
      </c>
    </row>
    <row r="60" spans="2:20" x14ac:dyDescent="0.25">
      <c r="B60" s="1" t="s">
        <v>25</v>
      </c>
      <c r="C60" s="2">
        <f>IFERROR(C$1*C5,0)</f>
        <v>3069.1328000000003</v>
      </c>
      <c r="D60" s="2">
        <f t="shared" ref="D60:I60" si="10">IFERROR(D$1*D5,0)</f>
        <v>1369.6132000000002</v>
      </c>
      <c r="E60" s="2">
        <f t="shared" si="10"/>
        <v>2077.8343999999997</v>
      </c>
      <c r="F60" s="2">
        <f t="shared" si="10"/>
        <v>1634.9868000000001</v>
      </c>
      <c r="G60" s="2">
        <f t="shared" si="10"/>
        <v>1251.7464</v>
      </c>
      <c r="H60" s="2">
        <f t="shared" si="10"/>
        <v>6728.3865000000005</v>
      </c>
      <c r="I60" s="2">
        <f t="shared" si="10"/>
        <v>9812.6982000000007</v>
      </c>
      <c r="J60" s="2">
        <f t="shared" ref="J60" si="11">IFERROR(J$1*J5,0)</f>
        <v>11566</v>
      </c>
      <c r="L60" s="32">
        <f>C60/C$79</f>
        <v>4.0388104441113827E-2</v>
      </c>
      <c r="M60" s="32">
        <f t="shared" ref="M60:S75" si="12">D60/D$79</f>
        <v>1.769894894894895E-2</v>
      </c>
      <c r="N60" s="32">
        <f t="shared" si="12"/>
        <v>2.7669205737451592E-2</v>
      </c>
      <c r="O60" s="32">
        <f t="shared" si="12"/>
        <v>1.4314460806731915E-2</v>
      </c>
      <c r="P60" s="32">
        <f t="shared" si="12"/>
        <v>1.1259740705564647E-2</v>
      </c>
      <c r="Q60" s="32">
        <f t="shared" si="12"/>
        <v>6.0199670532565322E-2</v>
      </c>
      <c r="R60" s="32">
        <f t="shared" si="12"/>
        <v>6.4527793533749295E-2</v>
      </c>
      <c r="S60" s="32">
        <f t="shared" si="12"/>
        <v>8.0633579430977625E-2</v>
      </c>
      <c r="T60" s="30"/>
    </row>
    <row r="61" spans="2:20" x14ac:dyDescent="0.25">
      <c r="B61" s="1" t="s">
        <v>26</v>
      </c>
      <c r="C61" s="2">
        <f t="shared" ref="C61:I69" si="13">IFERROR(C$1*C6,0)</f>
        <v>1191.3870000000002</v>
      </c>
      <c r="D61" s="2">
        <f t="shared" si="13"/>
        <v>1382.6848000000002</v>
      </c>
      <c r="E61" s="2">
        <f t="shared" si="13"/>
        <v>1381.5824</v>
      </c>
      <c r="F61" s="2">
        <f t="shared" si="13"/>
        <v>1945.7910000000002</v>
      </c>
      <c r="G61" s="2">
        <f t="shared" si="13"/>
        <v>1721.1513</v>
      </c>
      <c r="H61" s="2">
        <f t="shared" si="13"/>
        <v>1654.6023</v>
      </c>
      <c r="I61" s="2">
        <f t="shared" si="13"/>
        <v>2368.8054000000002</v>
      </c>
      <c r="J61" s="2">
        <f t="shared" ref="J61" si="14">IFERROR(J$1*J6,0)</f>
        <v>1990</v>
      </c>
      <c r="L61" s="32">
        <f t="shared" ref="L61:L79" si="15">C61/C$79</f>
        <v>1.5677999526701902E-2</v>
      </c>
      <c r="M61" s="32">
        <f t="shared" si="12"/>
        <v>1.786786786786787E-2</v>
      </c>
      <c r="N61" s="32">
        <f t="shared" si="12"/>
        <v>1.839765847982984E-2</v>
      </c>
      <c r="O61" s="32">
        <f t="shared" si="12"/>
        <v>1.7035580353059548E-2</v>
      </c>
      <c r="P61" s="32">
        <f t="shared" si="12"/>
        <v>1.548214347015139E-2</v>
      </c>
      <c r="Q61" s="32">
        <f t="shared" si="12"/>
        <v>1.4803922652544528E-2</v>
      </c>
      <c r="R61" s="32">
        <f t="shared" si="12"/>
        <v>1.5577141236528645E-2</v>
      </c>
      <c r="S61" s="32">
        <f t="shared" si="12"/>
        <v>1.3873493261944102E-2</v>
      </c>
      <c r="T61" s="30"/>
    </row>
    <row r="62" spans="2:20" x14ac:dyDescent="0.25">
      <c r="B62" s="1" t="s">
        <v>27</v>
      </c>
      <c r="C62" s="2">
        <f t="shared" si="13"/>
        <v>2105.5330000000004</v>
      </c>
      <c r="D62" s="2">
        <f t="shared" si="13"/>
        <v>2483.6040000000003</v>
      </c>
      <c r="E62" s="2">
        <f t="shared" si="13"/>
        <v>1964.5228</v>
      </c>
      <c r="F62" s="2">
        <f t="shared" si="13"/>
        <v>3041.4411</v>
      </c>
      <c r="G62" s="2">
        <f t="shared" si="13"/>
        <v>2866.0412999999999</v>
      </c>
      <c r="H62" s="2">
        <f t="shared" si="13"/>
        <v>2460.2786999999998</v>
      </c>
      <c r="I62" s="2">
        <f t="shared" si="13"/>
        <v>2159.6346000000003</v>
      </c>
      <c r="J62" s="2">
        <f t="shared" ref="J62" si="16">IFERROR(J$1*J7,0)</f>
        <v>2092</v>
      </c>
      <c r="L62" s="32">
        <f t="shared" si="15"/>
        <v>2.7707659540900844E-2</v>
      </c>
      <c r="M62" s="32">
        <f t="shared" si="12"/>
        <v>3.20945945945946E-2</v>
      </c>
      <c r="N62" s="32">
        <f t="shared" si="12"/>
        <v>2.6160306870034723E-2</v>
      </c>
      <c r="O62" s="32">
        <f t="shared" si="12"/>
        <v>2.6628098417634687E-2</v>
      </c>
      <c r="P62" s="32">
        <f t="shared" si="12"/>
        <v>2.5780686798411737E-2</v>
      </c>
      <c r="Q62" s="32">
        <f t="shared" si="12"/>
        <v>2.2012404780594588E-2</v>
      </c>
      <c r="R62" s="32">
        <f t="shared" si="12"/>
        <v>1.4201644923425979E-2</v>
      </c>
      <c r="S62" s="32">
        <f t="shared" si="12"/>
        <v>1.4584596936676915E-2</v>
      </c>
      <c r="T62" s="30"/>
    </row>
    <row r="63" spans="2:20" x14ac:dyDescent="0.25">
      <c r="B63" s="1" t="s">
        <v>28</v>
      </c>
      <c r="C63" s="2">
        <f t="shared" si="13"/>
        <v>11.988800000000001</v>
      </c>
      <c r="D63" s="2">
        <f t="shared" si="13"/>
        <v>31.952800000000003</v>
      </c>
      <c r="E63" s="2">
        <f t="shared" si="13"/>
        <v>23.208400000000001</v>
      </c>
      <c r="F63" s="2">
        <f t="shared" si="13"/>
        <v>32.647500000000001</v>
      </c>
      <c r="G63" s="2">
        <f t="shared" si="13"/>
        <v>75.053899999999999</v>
      </c>
      <c r="H63" s="2">
        <f t="shared" si="13"/>
        <v>42.013800000000003</v>
      </c>
      <c r="I63" s="2">
        <f t="shared" si="13"/>
        <v>71.161200000000008</v>
      </c>
      <c r="J63" s="2">
        <f t="shared" ref="J63" si="17">IFERROR(J$1*J8,0)</f>
        <v>60</v>
      </c>
      <c r="L63" s="32">
        <f t="shared" si="15"/>
        <v>1.5776603297310089E-4</v>
      </c>
      <c r="M63" s="32">
        <f t="shared" si="12"/>
        <v>4.1291291291291294E-4</v>
      </c>
      <c r="N63" s="32">
        <f t="shared" si="12"/>
        <v>3.090515752540586E-4</v>
      </c>
      <c r="O63" s="32">
        <f t="shared" si="12"/>
        <v>2.8583188511844876E-4</v>
      </c>
      <c r="P63" s="32">
        <f t="shared" si="12"/>
        <v>6.7512672929706725E-4</v>
      </c>
      <c r="Q63" s="32">
        <f t="shared" si="12"/>
        <v>3.759024422602793E-4</v>
      </c>
      <c r="R63" s="32">
        <f t="shared" si="12"/>
        <v>4.6795235394214409E-4</v>
      </c>
      <c r="S63" s="32">
        <f t="shared" si="12"/>
        <v>4.1829627925459603E-4</v>
      </c>
      <c r="T63" s="70"/>
    </row>
    <row r="64" spans="2:20" x14ac:dyDescent="0.25">
      <c r="B64" s="1" t="s">
        <v>29</v>
      </c>
      <c r="C64" s="2">
        <f t="shared" si="13"/>
        <v>0</v>
      </c>
      <c r="D64" s="2">
        <f t="shared" si="13"/>
        <v>31.952800000000003</v>
      </c>
      <c r="E64" s="2">
        <f t="shared" si="13"/>
        <v>0</v>
      </c>
      <c r="F64" s="2">
        <f t="shared" si="13"/>
        <v>6.5295000000000005</v>
      </c>
      <c r="G64" s="2">
        <f t="shared" si="13"/>
        <v>0</v>
      </c>
      <c r="H64" s="2">
        <f t="shared" si="13"/>
        <v>0</v>
      </c>
      <c r="I64" s="2">
        <f t="shared" si="13"/>
        <v>0</v>
      </c>
      <c r="J64" s="2">
        <f t="shared" ref="J64" si="18">IFERROR(J$1*J9,0)</f>
        <v>0</v>
      </c>
      <c r="L64" s="32">
        <f t="shared" si="15"/>
        <v>0</v>
      </c>
      <c r="M64" s="32">
        <f t="shared" si="12"/>
        <v>4.1291291291291294E-4</v>
      </c>
      <c r="N64" s="32">
        <f t="shared" si="12"/>
        <v>0</v>
      </c>
      <c r="O64" s="32">
        <f t="shared" si="12"/>
        <v>5.7166377023689756E-5</v>
      </c>
      <c r="P64" s="32">
        <f t="shared" si="12"/>
        <v>0</v>
      </c>
      <c r="Q64" s="32">
        <f t="shared" si="12"/>
        <v>0</v>
      </c>
      <c r="R64" s="32">
        <f t="shared" si="12"/>
        <v>0</v>
      </c>
      <c r="S64" s="32">
        <f t="shared" si="12"/>
        <v>0</v>
      </c>
      <c r="T64" s="30"/>
    </row>
    <row r="65" spans="2:21" x14ac:dyDescent="0.25">
      <c r="B65" s="19" t="s">
        <v>30</v>
      </c>
      <c r="C65" s="20">
        <f t="shared" si="13"/>
        <v>11232.007000000001</v>
      </c>
      <c r="D65" s="20">
        <f t="shared" si="13"/>
        <v>12987.3608</v>
      </c>
      <c r="E65" s="20">
        <f t="shared" si="13"/>
        <v>13179.640799999999</v>
      </c>
      <c r="F65" s="20">
        <f t="shared" si="13"/>
        <v>16808.2389</v>
      </c>
      <c r="G65" s="20">
        <f t="shared" si="13"/>
        <v>17136.4591</v>
      </c>
      <c r="H65" s="20">
        <f t="shared" si="13"/>
        <v>14811.100200000001</v>
      </c>
      <c r="I65" s="20">
        <f t="shared" si="13"/>
        <v>19308.405600000002</v>
      </c>
      <c r="J65" s="20">
        <f t="shared" ref="J65" si="19">IFERROR(J$1*J10,0)</f>
        <v>21039</v>
      </c>
      <c r="K65" s="21"/>
      <c r="L65" s="26">
        <f t="shared" si="15"/>
        <v>0.14780705214167389</v>
      </c>
      <c r="M65" s="26">
        <f t="shared" si="12"/>
        <v>0.16783033033033032</v>
      </c>
      <c r="N65" s="26">
        <f t="shared" si="12"/>
        <v>0.17550493573545184</v>
      </c>
      <c r="O65" s="26">
        <f t="shared" si="12"/>
        <v>0.14715768773438215</v>
      </c>
      <c r="P65" s="26">
        <f t="shared" si="12"/>
        <v>0.15414630797221684</v>
      </c>
      <c r="Q65" s="26">
        <f t="shared" si="12"/>
        <v>0.13251666685093258</v>
      </c>
      <c r="R65" s="26">
        <f t="shared" si="12"/>
        <v>0.12697107203630176</v>
      </c>
      <c r="S65" s="26">
        <f t="shared" si="12"/>
        <v>0.14667559032062411</v>
      </c>
      <c r="T65" s="27">
        <f>AVERAGE(L65:S65)</f>
        <v>0.14982620539023916</v>
      </c>
    </row>
    <row r="66" spans="2:21" x14ac:dyDescent="0.25">
      <c r="B66" s="1" t="s">
        <v>68</v>
      </c>
      <c r="C66" s="2">
        <f t="shared" si="13"/>
        <v>0</v>
      </c>
      <c r="D66" s="2">
        <f t="shared" si="13"/>
        <v>0</v>
      </c>
      <c r="E66" s="2">
        <f t="shared" si="13"/>
        <v>393.17759999999998</v>
      </c>
      <c r="F66" s="2">
        <f t="shared" si="13"/>
        <v>487.10070000000002</v>
      </c>
      <c r="G66" s="2">
        <f t="shared" si="13"/>
        <v>609.33590000000004</v>
      </c>
      <c r="H66" s="2">
        <f t="shared" si="13"/>
        <v>596.84310000000005</v>
      </c>
      <c r="I66" s="2">
        <f t="shared" si="13"/>
        <v>934.79939999999999</v>
      </c>
      <c r="J66" s="2">
        <f t="shared" ref="J66" si="20">IFERROR(J$1*J11,0)</f>
        <v>948</v>
      </c>
      <c r="L66" s="32">
        <f t="shared" si="15"/>
        <v>0</v>
      </c>
      <c r="M66" s="32">
        <f t="shared" si="12"/>
        <v>0</v>
      </c>
      <c r="N66" s="32">
        <f t="shared" si="12"/>
        <v>5.2356972748922861E-3</v>
      </c>
      <c r="O66" s="32">
        <f t="shared" si="12"/>
        <v>4.2646117259672557E-3</v>
      </c>
      <c r="P66" s="32">
        <f t="shared" si="12"/>
        <v>5.4811136158185629E-3</v>
      </c>
      <c r="Q66" s="32">
        <f t="shared" si="12"/>
        <v>5.3400258709327911E-3</v>
      </c>
      <c r="R66" s="32">
        <f t="shared" si="12"/>
        <v>6.147192285876347E-3</v>
      </c>
      <c r="S66" s="32">
        <f t="shared" si="12"/>
        <v>6.6090812122226172E-3</v>
      </c>
      <c r="T66" s="30"/>
    </row>
    <row r="67" spans="2:21" x14ac:dyDescent="0.25">
      <c r="B67" s="1" t="s">
        <v>72</v>
      </c>
      <c r="C67" s="2">
        <f t="shared" si="13"/>
        <v>0</v>
      </c>
      <c r="D67" s="2">
        <f t="shared" si="13"/>
        <v>0</v>
      </c>
      <c r="E67" s="2">
        <f t="shared" si="13"/>
        <v>0</v>
      </c>
      <c r="F67" s="2">
        <f t="shared" si="13"/>
        <v>0</v>
      </c>
      <c r="G67" s="2">
        <f t="shared" si="13"/>
        <v>0</v>
      </c>
      <c r="H67" s="2">
        <f t="shared" si="13"/>
        <v>0</v>
      </c>
      <c r="I67" s="2">
        <f t="shared" si="13"/>
        <v>102.429</v>
      </c>
      <c r="J67" s="2">
        <f t="shared" ref="J67" si="21">IFERROR(J$1*J12,0)</f>
        <v>0</v>
      </c>
      <c r="L67" s="32">
        <f t="shared" si="15"/>
        <v>0</v>
      </c>
      <c r="M67" s="32">
        <f t="shared" si="12"/>
        <v>0</v>
      </c>
      <c r="N67" s="32">
        <f t="shared" si="12"/>
        <v>0</v>
      </c>
      <c r="O67" s="32">
        <f t="shared" si="12"/>
        <v>0</v>
      </c>
      <c r="P67" s="32">
        <f t="shared" si="12"/>
        <v>0</v>
      </c>
      <c r="Q67" s="32">
        <f t="shared" si="12"/>
        <v>0</v>
      </c>
      <c r="R67" s="32">
        <f t="shared" si="12"/>
        <v>6.7356778218944974E-4</v>
      </c>
      <c r="S67" s="32">
        <f t="shared" si="12"/>
        <v>0</v>
      </c>
      <c r="T67" s="30"/>
    </row>
    <row r="68" spans="2:21" s="31" customFormat="1" x14ac:dyDescent="0.25">
      <c r="B68" s="14" t="s">
        <v>31</v>
      </c>
      <c r="C68" s="15">
        <f t="shared" ref="C68:F68" si="22">SUM(C60:C67)</f>
        <v>17610.048600000002</v>
      </c>
      <c r="D68" s="15">
        <f t="shared" si="22"/>
        <v>18287.168400000002</v>
      </c>
      <c r="E68" s="15">
        <f t="shared" si="22"/>
        <v>19019.966399999998</v>
      </c>
      <c r="F68" s="15">
        <f t="shared" si="22"/>
        <v>23956.735499999999</v>
      </c>
      <c r="G68" s="15">
        <f>SUM(G60:G67)</f>
        <v>23659.787900000003</v>
      </c>
      <c r="H68" s="15">
        <f t="shared" ref="H68:I68" si="23">SUM(H60:H67)</f>
        <v>26293.224600000001</v>
      </c>
      <c r="I68" s="15">
        <f t="shared" si="23"/>
        <v>34757.933400000002</v>
      </c>
      <c r="J68" s="15">
        <f t="shared" ref="J68" si="24">SUM(J60:J67)</f>
        <v>37695</v>
      </c>
      <c r="L68" s="34">
        <f t="shared" si="15"/>
        <v>0.23173858168336356</v>
      </c>
      <c r="M68" s="34">
        <f t="shared" si="12"/>
        <v>0.23631756756756758</v>
      </c>
      <c r="N68" s="34">
        <f t="shared" si="12"/>
        <v>0.2532768556729143</v>
      </c>
      <c r="O68" s="34">
        <f t="shared" si="12"/>
        <v>0.20974343729991768</v>
      </c>
      <c r="P68" s="34">
        <f t="shared" si="12"/>
        <v>0.21282511929146025</v>
      </c>
      <c r="Q68" s="34">
        <f t="shared" si="12"/>
        <v>0.2352485931298301</v>
      </c>
      <c r="R68" s="34">
        <f t="shared" si="12"/>
        <v>0.22856636415201362</v>
      </c>
      <c r="S68" s="34">
        <f t="shared" si="12"/>
        <v>0.26279463744169995</v>
      </c>
      <c r="T68" s="33">
        <f>AVERAGE(L68:S68)</f>
        <v>0.23381389452984591</v>
      </c>
      <c r="U68" s="30"/>
    </row>
    <row r="69" spans="2:21" x14ac:dyDescent="0.25">
      <c r="B69" s="22" t="s">
        <v>32</v>
      </c>
      <c r="C69" s="23">
        <f t="shared" si="13"/>
        <v>42173.601200000005</v>
      </c>
      <c r="D69" s="23">
        <f t="shared" ref="D69:I69" si="25">IFERROR(D$1*D14,0)</f>
        <v>43423.855200000005</v>
      </c>
      <c r="E69" s="23">
        <f t="shared" si="25"/>
        <v>42087.750800000002</v>
      </c>
      <c r="F69" s="23">
        <f t="shared" si="25"/>
        <v>70296.597000000009</v>
      </c>
      <c r="G69" s="23">
        <f t="shared" si="25"/>
        <v>41934.7765</v>
      </c>
      <c r="H69" s="23">
        <f t="shared" si="25"/>
        <v>40545.788399999998</v>
      </c>
      <c r="I69" s="23">
        <f t="shared" si="25"/>
        <v>45476.319600000003</v>
      </c>
      <c r="J69" s="23">
        <f t="shared" ref="J69" si="26">IFERROR(J$1*J14,0)</f>
        <v>42792</v>
      </c>
      <c r="K69" s="24"/>
      <c r="L69" s="28">
        <f t="shared" si="15"/>
        <v>0.55498146249112568</v>
      </c>
      <c r="M69" s="28">
        <f t="shared" si="12"/>
        <v>0.56114864864864866</v>
      </c>
      <c r="N69" s="28">
        <f t="shared" si="12"/>
        <v>0.56045594197102189</v>
      </c>
      <c r="O69" s="28">
        <f t="shared" si="12"/>
        <v>0.61545321503704398</v>
      </c>
      <c r="P69" s="28">
        <f t="shared" si="12"/>
        <v>0.37721275646233599</v>
      </c>
      <c r="Q69" s="28">
        <f t="shared" si="12"/>
        <v>0.36276796868953776</v>
      </c>
      <c r="R69" s="28">
        <f t="shared" si="12"/>
        <v>0.29904991491775385</v>
      </c>
      <c r="S69" s="28">
        <f t="shared" si="12"/>
        <v>0.29832890636437787</v>
      </c>
      <c r="T69" s="27">
        <f>AVERAGE(L69:S69)</f>
        <v>0.45367485182273065</v>
      </c>
    </row>
    <row r="70" spans="2:21" x14ac:dyDescent="0.25">
      <c r="B70" s="1" t="s">
        <v>73</v>
      </c>
      <c r="C70" s="2">
        <f t="shared" ref="C70:I70" si="27">IFERROR(C$1*C15,0)</f>
        <v>0</v>
      </c>
      <c r="D70" s="2">
        <f t="shared" si="27"/>
        <v>0</v>
      </c>
      <c r="E70" s="2">
        <f t="shared" si="27"/>
        <v>0</v>
      </c>
      <c r="F70" s="2">
        <f t="shared" si="27"/>
        <v>0</v>
      </c>
      <c r="G70" s="2">
        <f t="shared" si="27"/>
        <v>24447.217799999999</v>
      </c>
      <c r="H70" s="2">
        <f t="shared" si="27"/>
        <v>23608.048500000001</v>
      </c>
      <c r="I70" s="2">
        <f t="shared" si="27"/>
        <v>45193.831200000001</v>
      </c>
      <c r="J70" s="2">
        <f t="shared" ref="J70" si="28">IFERROR(J$1*J15,0)</f>
        <v>38324</v>
      </c>
      <c r="L70" s="32">
        <f t="shared" si="15"/>
        <v>0</v>
      </c>
      <c r="M70" s="32">
        <f t="shared" si="12"/>
        <v>0</v>
      </c>
      <c r="N70" s="32">
        <f t="shared" si="12"/>
        <v>0</v>
      </c>
      <c r="O70" s="32">
        <f t="shared" si="12"/>
        <v>0</v>
      </c>
      <c r="P70" s="32">
        <f t="shared" si="12"/>
        <v>0.2199082285361193</v>
      </c>
      <c r="Q70" s="32">
        <f t="shared" si="12"/>
        <v>0.21122400468772459</v>
      </c>
      <c r="R70" s="32">
        <f t="shared" si="12"/>
        <v>0.29719228587634711</v>
      </c>
      <c r="S70" s="32">
        <f t="shared" si="12"/>
        <v>0.26717977676921895</v>
      </c>
      <c r="T70" s="44">
        <f>AVERAGE(L70:S70)</f>
        <v>0.12443803698367625</v>
      </c>
    </row>
    <row r="71" spans="2:21" x14ac:dyDescent="0.25">
      <c r="B71" s="19" t="s">
        <v>33</v>
      </c>
      <c r="C71" s="20">
        <f t="shared" ref="C71:I71" si="29">IFERROR(C$1*C16,0)</f>
        <v>8810.269400000001</v>
      </c>
      <c r="D71" s="20">
        <f t="shared" si="29"/>
        <v>9324.4080000000013</v>
      </c>
      <c r="E71" s="20">
        <f t="shared" si="29"/>
        <v>9359.8112000000001</v>
      </c>
      <c r="F71" s="20">
        <f t="shared" si="29"/>
        <v>11333.9061</v>
      </c>
      <c r="G71" s="20">
        <f t="shared" si="29"/>
        <v>12100.215200000001</v>
      </c>
      <c r="H71" s="20">
        <f t="shared" si="29"/>
        <v>12123.4527</v>
      </c>
      <c r="I71" s="20">
        <f t="shared" si="29"/>
        <v>11855.887200000001</v>
      </c>
      <c r="J71" s="20">
        <f t="shared" ref="J71" si="30">IFERROR(J$1*J16,0)</f>
        <v>11294</v>
      </c>
      <c r="K71" s="21"/>
      <c r="L71" s="26">
        <f t="shared" si="15"/>
        <v>0.11593831348110752</v>
      </c>
      <c r="M71" s="26">
        <f t="shared" si="12"/>
        <v>0.12049549549549551</v>
      </c>
      <c r="N71" s="26">
        <f t="shared" si="12"/>
        <v>0.12463868234951915</v>
      </c>
      <c r="O71" s="26">
        <f t="shared" si="12"/>
        <v>9.9229397237720673E-2</v>
      </c>
      <c r="P71" s="26">
        <f t="shared" si="12"/>
        <v>0.1088441601537916</v>
      </c>
      <c r="Q71" s="26">
        <f t="shared" si="12"/>
        <v>0.10846996650045883</v>
      </c>
      <c r="R71" s="26">
        <f t="shared" si="12"/>
        <v>7.7963698241633586E-2</v>
      </c>
      <c r="S71" s="26">
        <f t="shared" si="12"/>
        <v>7.8737302965023459E-2</v>
      </c>
      <c r="T71" s="27">
        <f>AVERAGE(L71:S71)</f>
        <v>0.10428962705309379</v>
      </c>
    </row>
    <row r="72" spans="2:21" x14ac:dyDescent="0.25">
      <c r="B72" s="1" t="s">
        <v>34</v>
      </c>
      <c r="C72" s="2">
        <f t="shared" ref="C72:I72" si="31">IFERROR(C$1*C17,0)</f>
        <v>28.473400000000002</v>
      </c>
      <c r="D72" s="2">
        <f t="shared" si="31"/>
        <v>24.690800000000003</v>
      </c>
      <c r="E72" s="2">
        <f t="shared" si="31"/>
        <v>13.651999999999999</v>
      </c>
      <c r="F72" s="2">
        <f t="shared" si="31"/>
        <v>10.4472</v>
      </c>
      <c r="G72" s="2">
        <f t="shared" si="31"/>
        <v>7.6326000000000001</v>
      </c>
      <c r="H72" s="2">
        <f t="shared" si="31"/>
        <v>171.76230000000001</v>
      </c>
      <c r="I72" s="2">
        <f t="shared" si="31"/>
        <v>1014.5862000000001</v>
      </c>
      <c r="J72" s="2">
        <f t="shared" ref="J72" si="32">IFERROR(J$1*J17,0)</f>
        <v>976</v>
      </c>
      <c r="L72" s="32">
        <f t="shared" si="15"/>
        <v>3.7469432831111458E-4</v>
      </c>
      <c r="M72" s="32">
        <f t="shared" si="12"/>
        <v>3.190690690690691E-4</v>
      </c>
      <c r="N72" s="32">
        <f t="shared" si="12"/>
        <v>1.8179504426709328E-4</v>
      </c>
      <c r="O72" s="32">
        <f t="shared" si="12"/>
        <v>9.1466203237903606E-5</v>
      </c>
      <c r="P72" s="32">
        <f t="shared" si="12"/>
        <v>6.8656955521735657E-5</v>
      </c>
      <c r="Q72" s="32">
        <f t="shared" si="12"/>
        <v>1.5367776315934948E-3</v>
      </c>
      <c r="R72" s="32">
        <f t="shared" si="12"/>
        <v>6.6718661372660243E-3</v>
      </c>
      <c r="S72" s="32">
        <f t="shared" si="12"/>
        <v>6.8042861425414288E-3</v>
      </c>
      <c r="T72" s="30"/>
    </row>
    <row r="73" spans="2:21" x14ac:dyDescent="0.25">
      <c r="B73" s="1" t="s">
        <v>35</v>
      </c>
      <c r="C73" s="2">
        <f t="shared" ref="C73:I73" si="33">IFERROR(C$1*C18,0)</f>
        <v>140.86840000000001</v>
      </c>
      <c r="D73" s="2">
        <f t="shared" si="33"/>
        <v>136.52560000000003</v>
      </c>
      <c r="E73" s="2">
        <f t="shared" si="33"/>
        <v>129.69399999999999</v>
      </c>
      <c r="F73" s="2">
        <f t="shared" si="33"/>
        <v>124.0605</v>
      </c>
      <c r="G73" s="2">
        <f t="shared" si="33"/>
        <v>599.15909999999997</v>
      </c>
      <c r="H73" s="2">
        <f t="shared" si="33"/>
        <v>370.71</v>
      </c>
      <c r="I73" s="2">
        <f t="shared" si="33"/>
        <v>107.82000000000001</v>
      </c>
      <c r="J73" s="2">
        <f t="shared" ref="J73" si="34">IFERROR(J$1*J18,0)</f>
        <v>0</v>
      </c>
      <c r="L73" s="32">
        <f t="shared" si="15"/>
        <v>1.8537508874339353E-3</v>
      </c>
      <c r="M73" s="32">
        <f t="shared" si="12"/>
        <v>1.7642642642642645E-3</v>
      </c>
      <c r="N73" s="32">
        <f t="shared" si="12"/>
        <v>1.7270529205373859E-3</v>
      </c>
      <c r="O73" s="32">
        <f t="shared" si="12"/>
        <v>1.0861611634501052E-3</v>
      </c>
      <c r="P73" s="32">
        <f t="shared" si="12"/>
        <v>5.3895710084562488E-3</v>
      </c>
      <c r="Q73" s="32">
        <f t="shared" si="12"/>
        <v>3.3167862552377584E-3</v>
      </c>
      <c r="R73" s="32">
        <f t="shared" si="12"/>
        <v>7.0901871809415766E-4</v>
      </c>
      <c r="S73" s="32">
        <f t="shared" si="12"/>
        <v>0</v>
      </c>
      <c r="T73" s="30"/>
    </row>
    <row r="74" spans="2:21" x14ac:dyDescent="0.25">
      <c r="B74" s="1" t="s">
        <v>36</v>
      </c>
      <c r="C74" s="2">
        <f t="shared" ref="C74:I74" si="35">IFERROR(C$1*C19,0)</f>
        <v>3694.0490000000004</v>
      </c>
      <c r="D74" s="2">
        <f t="shared" si="35"/>
        <v>3755.9064000000003</v>
      </c>
      <c r="E74" s="2">
        <f t="shared" si="35"/>
        <v>3133.134</v>
      </c>
      <c r="F74" s="2">
        <f t="shared" si="35"/>
        <v>7219.0152000000007</v>
      </c>
      <c r="G74" s="2">
        <f t="shared" si="35"/>
        <v>6833.7212</v>
      </c>
      <c r="H74" s="2">
        <f t="shared" si="35"/>
        <v>7377.1289999999999</v>
      </c>
      <c r="I74" s="2">
        <f t="shared" si="35"/>
        <v>13354.585200000001</v>
      </c>
      <c r="J74" s="2">
        <f t="shared" ref="J74" si="36">IFERROR(J$1*J19,0)</f>
        <v>11835</v>
      </c>
      <c r="L74" s="32">
        <f t="shared" si="15"/>
        <v>4.8611658909836708E-2</v>
      </c>
      <c r="M74" s="32">
        <f t="shared" si="12"/>
        <v>4.853603603603604E-2</v>
      </c>
      <c r="N74" s="32">
        <f t="shared" si="12"/>
        <v>4.1721962659297909E-2</v>
      </c>
      <c r="O74" s="32">
        <f t="shared" si="12"/>
        <v>6.3203146437391389E-2</v>
      </c>
      <c r="P74" s="32">
        <f t="shared" si="12"/>
        <v>6.1470860843793988E-2</v>
      </c>
      <c r="Q74" s="32">
        <f t="shared" si="12"/>
        <v>6.6004046479231387E-2</v>
      </c>
      <c r="R74" s="32">
        <f t="shared" si="12"/>
        <v>8.7819058423142374E-2</v>
      </c>
      <c r="S74" s="32">
        <f t="shared" si="12"/>
        <v>8.2508941082969064E-2</v>
      </c>
      <c r="T74" s="44">
        <f>AVERAGE(L74:S74)</f>
        <v>6.2484463858962364E-2</v>
      </c>
    </row>
    <row r="75" spans="2:21" x14ac:dyDescent="0.25">
      <c r="B75" s="1" t="s">
        <v>37</v>
      </c>
      <c r="C75" s="2">
        <f t="shared" ref="C75:I75" si="37">IFERROR(C$1*C20,0)</f>
        <v>55.448200000000007</v>
      </c>
      <c r="D75" s="2">
        <f t="shared" si="37"/>
        <v>53.738800000000005</v>
      </c>
      <c r="E75" s="2">
        <f t="shared" si="37"/>
        <v>50.5124</v>
      </c>
      <c r="F75" s="2">
        <f t="shared" si="37"/>
        <v>48.318300000000001</v>
      </c>
      <c r="G75" s="2">
        <f t="shared" si="37"/>
        <v>47.067700000000002</v>
      </c>
      <c r="H75" s="2">
        <f t="shared" si="37"/>
        <v>45.7209</v>
      </c>
      <c r="I75" s="2">
        <f t="shared" si="37"/>
        <v>39.8934</v>
      </c>
      <c r="J75" s="2">
        <f t="shared" ref="J75" si="38">IFERROR(J$1*J20,0)</f>
        <v>0</v>
      </c>
      <c r="L75" s="32">
        <f t="shared" si="15"/>
        <v>7.2966790250059165E-4</v>
      </c>
      <c r="M75" s="32">
        <f t="shared" si="12"/>
        <v>6.9444444444444447E-4</v>
      </c>
      <c r="N75" s="32">
        <f t="shared" si="12"/>
        <v>6.7264166378824515E-4</v>
      </c>
      <c r="O75" s="32">
        <f t="shared" si="12"/>
        <v>4.2303118997530413E-4</v>
      </c>
      <c r="P75" s="32">
        <f t="shared" si="12"/>
        <v>4.233845590507032E-4</v>
      </c>
      <c r="Q75" s="32">
        <f t="shared" si="12"/>
        <v>4.0907030481265687E-4</v>
      </c>
      <c r="R75" s="32">
        <f t="shared" si="12"/>
        <v>2.6233692569483833E-4</v>
      </c>
      <c r="S75" s="32">
        <f t="shared" si="12"/>
        <v>0</v>
      </c>
      <c r="T75" s="30"/>
    </row>
    <row r="76" spans="2:21" x14ac:dyDescent="0.25">
      <c r="B76" s="1" t="s">
        <v>29</v>
      </c>
      <c r="C76" s="2">
        <f t="shared" ref="C76:I76" si="39">IFERROR(C$1*C21,0)</f>
        <v>115.39220000000002</v>
      </c>
      <c r="D76" s="2">
        <f t="shared" si="39"/>
        <v>56.643600000000006</v>
      </c>
      <c r="E76" s="2">
        <f t="shared" si="39"/>
        <v>96.929199999999994</v>
      </c>
      <c r="F76" s="2">
        <f t="shared" si="39"/>
        <v>117.53100000000001</v>
      </c>
      <c r="G76" s="2">
        <f t="shared" si="39"/>
        <v>16.537300000000002</v>
      </c>
      <c r="H76" s="2">
        <f t="shared" si="39"/>
        <v>0</v>
      </c>
      <c r="I76" s="2">
        <f t="shared" si="39"/>
        <v>0</v>
      </c>
      <c r="J76" s="2">
        <f t="shared" ref="J76" si="40">IFERROR(J$1*J21,0)</f>
        <v>268</v>
      </c>
      <c r="L76" s="32">
        <f t="shared" si="15"/>
        <v>1.5184980673660961E-3</v>
      </c>
      <c r="M76" s="32">
        <f t="shared" ref="M76:M79" si="41">D76/D$79</f>
        <v>7.3198198198198199E-4</v>
      </c>
      <c r="N76" s="32">
        <f t="shared" ref="N76:N79" si="42">E76/E$79</f>
        <v>1.2907448142963622E-3</v>
      </c>
      <c r="O76" s="32">
        <f t="shared" ref="O76:O79" si="43">F76/F$79</f>
        <v>1.0289947864264156E-3</v>
      </c>
      <c r="P76" s="32">
        <f t="shared" ref="P76:P79" si="44">G76/G$79</f>
        <v>1.487567369637606E-4</v>
      </c>
      <c r="Q76" s="32">
        <f t="shared" ref="Q76:Q79" si="45">H76/H$79</f>
        <v>0</v>
      </c>
      <c r="R76" s="32">
        <f t="shared" ref="R76:S79" si="46">I76/I$79</f>
        <v>0</v>
      </c>
      <c r="S76" s="32">
        <f t="shared" si="46"/>
        <v>1.8683900473371955E-3</v>
      </c>
      <c r="T76" s="30"/>
    </row>
    <row r="77" spans="2:21" x14ac:dyDescent="0.25">
      <c r="B77" s="1" t="s">
        <v>38</v>
      </c>
      <c r="C77" s="2">
        <f t="shared" ref="C77:I77" si="47">IFERROR(C$1*C22,0)</f>
        <v>3362.8584000000005</v>
      </c>
      <c r="D77" s="2">
        <f t="shared" si="47"/>
        <v>2320.9352000000003</v>
      </c>
      <c r="E77" s="2">
        <f t="shared" si="47"/>
        <v>1204.1063999999999</v>
      </c>
      <c r="F77" s="2">
        <f t="shared" si="47"/>
        <v>1112.6268</v>
      </c>
      <c r="G77" s="2">
        <f t="shared" si="47"/>
        <v>1523.9757999999999</v>
      </c>
      <c r="H77" s="2">
        <f t="shared" si="47"/>
        <v>1231.9929</v>
      </c>
      <c r="I77" s="2">
        <f t="shared" si="47"/>
        <v>268.47180000000003</v>
      </c>
      <c r="J77" s="2">
        <f t="shared" ref="J77" si="48">IFERROR(J$1*J22,0)</f>
        <v>255</v>
      </c>
      <c r="L77" s="32">
        <f t="shared" si="15"/>
        <v>4.42533722489548E-2</v>
      </c>
      <c r="M77" s="32">
        <f t="shared" si="41"/>
        <v>2.9992492492492497E-2</v>
      </c>
      <c r="N77" s="32">
        <f t="shared" si="42"/>
        <v>1.6034322904357627E-2</v>
      </c>
      <c r="O77" s="32">
        <f t="shared" si="43"/>
        <v>9.7411506448367331E-3</v>
      </c>
      <c r="P77" s="32">
        <f t="shared" si="44"/>
        <v>1.3708505452506552E-2</v>
      </c>
      <c r="Q77" s="32">
        <f t="shared" si="45"/>
        <v>1.1022786321573483E-2</v>
      </c>
      <c r="R77" s="32">
        <f t="shared" si="46"/>
        <v>1.7654566080544528E-3</v>
      </c>
      <c r="S77" s="32">
        <f t="shared" si="46"/>
        <v>1.7777591868320332E-3</v>
      </c>
      <c r="T77" s="30"/>
    </row>
    <row r="78" spans="2:21" s="31" customFormat="1" x14ac:dyDescent="0.25">
      <c r="B78" s="14" t="s">
        <v>230</v>
      </c>
      <c r="C78" s="15">
        <f>SUM(C69:C77)</f>
        <v>58380.960200000009</v>
      </c>
      <c r="D78" s="15">
        <f t="shared" ref="D78:H78" si="49">SUM(D69:D77)</f>
        <v>59096.703600000008</v>
      </c>
      <c r="E78" s="15">
        <f t="shared" si="49"/>
        <v>56075.590000000004</v>
      </c>
      <c r="F78" s="15">
        <f t="shared" si="49"/>
        <v>90262.502099999998</v>
      </c>
      <c r="G78" s="15">
        <f t="shared" si="49"/>
        <v>87510.303199999995</v>
      </c>
      <c r="H78" s="15">
        <f t="shared" si="49"/>
        <v>85474.604699999996</v>
      </c>
      <c r="I78" s="15">
        <f>SUM(I69:I77)</f>
        <v>117311.39460000001</v>
      </c>
      <c r="J78" s="15">
        <f>SUM(J69:J77)</f>
        <v>105744</v>
      </c>
      <c r="L78" s="34">
        <f t="shared" si="15"/>
        <v>0.76826141831663641</v>
      </c>
      <c r="M78" s="34">
        <f t="shared" si="41"/>
        <v>0.7636824324324325</v>
      </c>
      <c r="N78" s="34">
        <f t="shared" si="42"/>
        <v>0.74672314432708564</v>
      </c>
      <c r="O78" s="34">
        <f t="shared" si="43"/>
        <v>0.79025656270008238</v>
      </c>
      <c r="P78" s="34">
        <f t="shared" si="44"/>
        <v>0.7871748807085398</v>
      </c>
      <c r="Q78" s="34">
        <f t="shared" si="45"/>
        <v>0.76475140687016996</v>
      </c>
      <c r="R78" s="34">
        <f t="shared" si="46"/>
        <v>0.77143363584798641</v>
      </c>
      <c r="S78" s="34">
        <f t="shared" si="46"/>
        <v>0.73720536255830005</v>
      </c>
      <c r="T78" s="33">
        <f>AVERAGE(L78:S78)</f>
        <v>0.7661861054701542</v>
      </c>
    </row>
    <row r="79" spans="2:21" x14ac:dyDescent="0.25">
      <c r="B79" s="7" t="s">
        <v>39</v>
      </c>
      <c r="C79" s="8">
        <f>C68+C78</f>
        <v>75991.008800000011</v>
      </c>
      <c r="D79" s="8">
        <f t="shared" ref="D79:I79" si="50">D68+D78</f>
        <v>77383.872000000003</v>
      </c>
      <c r="E79" s="8">
        <f t="shared" si="50"/>
        <v>75095.556400000001</v>
      </c>
      <c r="F79" s="8">
        <f t="shared" si="50"/>
        <v>114219.23759999999</v>
      </c>
      <c r="G79" s="8">
        <f t="shared" si="50"/>
        <v>111170.09109999999</v>
      </c>
      <c r="H79" s="8">
        <f t="shared" si="50"/>
        <v>111767.8293</v>
      </c>
      <c r="I79" s="8">
        <f t="shared" si="50"/>
        <v>152069.32800000001</v>
      </c>
      <c r="J79" s="8">
        <f t="shared" ref="J79" si="51">J68+J78</f>
        <v>143439</v>
      </c>
      <c r="L79" s="32">
        <f t="shared" si="15"/>
        <v>1</v>
      </c>
      <c r="M79" s="32">
        <f t="shared" si="41"/>
        <v>1</v>
      </c>
      <c r="N79" s="32">
        <f t="shared" si="42"/>
        <v>1</v>
      </c>
      <c r="O79" s="32">
        <f t="shared" si="43"/>
        <v>1</v>
      </c>
      <c r="P79" s="32">
        <f t="shared" si="44"/>
        <v>1</v>
      </c>
      <c r="Q79" s="32">
        <f t="shared" si="45"/>
        <v>1</v>
      </c>
      <c r="R79" s="32">
        <f t="shared" si="46"/>
        <v>1</v>
      </c>
      <c r="S79" s="32">
        <f t="shared" si="46"/>
        <v>1</v>
      </c>
      <c r="T79" s="30"/>
    </row>
    <row r="80" spans="2:21" x14ac:dyDescent="0.25">
      <c r="B80" s="14" t="s">
        <v>40</v>
      </c>
      <c r="C80" s="2"/>
      <c r="D80" s="2"/>
      <c r="E80" s="2"/>
      <c r="F80" s="2"/>
      <c r="G80" s="2"/>
      <c r="H80" s="2"/>
      <c r="I80" s="2"/>
      <c r="J80" s="2"/>
      <c r="L80" s="30"/>
      <c r="M80" s="30"/>
      <c r="N80" s="30"/>
      <c r="O80" s="30"/>
      <c r="P80" s="30"/>
      <c r="Q80" s="30"/>
      <c r="R80" s="30"/>
      <c r="S80" s="30"/>
      <c r="T80" s="30"/>
    </row>
    <row r="81" spans="2:20" x14ac:dyDescent="0.25">
      <c r="B81" s="19" t="s">
        <v>41</v>
      </c>
      <c r="C81" s="20">
        <f t="shared" ref="C81:H89" si="52">IFERROR(C$1*C25,0)</f>
        <v>19384.391000000003</v>
      </c>
      <c r="D81" s="20">
        <f t="shared" si="52"/>
        <v>20359.743200000001</v>
      </c>
      <c r="E81" s="20">
        <f t="shared" si="52"/>
        <v>19927.824400000001</v>
      </c>
      <c r="F81" s="20">
        <f t="shared" si="52"/>
        <v>24548.308199999999</v>
      </c>
      <c r="G81" s="20">
        <f t="shared" si="52"/>
        <v>22199.417099999999</v>
      </c>
      <c r="H81" s="20">
        <f t="shared" si="52"/>
        <v>22799.900700000002</v>
      </c>
      <c r="I81" s="20">
        <f t="shared" ref="I81:J89" si="53">IFERROR(I$1*I25,0)</f>
        <v>28339.408800000001</v>
      </c>
      <c r="J81" s="20">
        <f t="shared" si="53"/>
        <v>29749</v>
      </c>
      <c r="K81" s="21"/>
      <c r="L81" s="26">
        <f>C81/C$101</f>
        <v>0.50489870799016356</v>
      </c>
      <c r="M81" s="26">
        <f t="shared" ref="M81:Q81" si="54">D81/D$101</f>
        <v>0.53213377367801695</v>
      </c>
      <c r="N81" s="26">
        <f t="shared" si="54"/>
        <v>0.54931697587777073</v>
      </c>
      <c r="O81" s="26">
        <f t="shared" si="54"/>
        <v>0.31001385315654068</v>
      </c>
      <c r="P81" s="26">
        <f t="shared" si="54"/>
        <v>0.2909372811843553</v>
      </c>
      <c r="Q81" s="26">
        <f t="shared" si="54"/>
        <v>0.30163971946574242</v>
      </c>
      <c r="R81" s="26">
        <f t="shared" ref="R81:R101" si="55">I81/I$101</f>
        <v>0.24251930724586868</v>
      </c>
      <c r="S81" s="26">
        <f t="shared" ref="S81:S101" si="56">J81/J$101</f>
        <v>0.28585292732845846</v>
      </c>
      <c r="T81" s="27">
        <f>AVERAGE(L81:S81)</f>
        <v>0.37716406824086457</v>
      </c>
    </row>
    <row r="82" spans="2:20" x14ac:dyDescent="0.25">
      <c r="B82" s="1" t="s">
        <v>69</v>
      </c>
      <c r="C82" s="2">
        <f t="shared" si="52"/>
        <v>0</v>
      </c>
      <c r="D82" s="2">
        <f t="shared" si="52"/>
        <v>0</v>
      </c>
      <c r="E82" s="2">
        <f t="shared" si="52"/>
        <v>0</v>
      </c>
      <c r="F82" s="2">
        <f t="shared" si="52"/>
        <v>0</v>
      </c>
      <c r="G82" s="2">
        <f t="shared" si="52"/>
        <v>1265.7394999999999</v>
      </c>
      <c r="H82" s="2">
        <f t="shared" si="52"/>
        <v>1287.5994000000001</v>
      </c>
      <c r="I82" s="2">
        <f t="shared" si="53"/>
        <v>1207.5840000000001</v>
      </c>
      <c r="J82" s="2">
        <f t="shared" si="53"/>
        <v>903</v>
      </c>
      <c r="L82" s="32">
        <f t="shared" ref="L82:L101" si="57">C82/C$101</f>
        <v>0</v>
      </c>
      <c r="M82" s="32">
        <f t="shared" ref="M82:M101" si="58">D82/D$101</f>
        <v>0</v>
      </c>
      <c r="N82" s="32">
        <f t="shared" ref="N82:N101" si="59">E82/E$101</f>
        <v>0</v>
      </c>
      <c r="O82" s="32">
        <f t="shared" ref="O82:O101" si="60">F82/F$101</f>
        <v>0</v>
      </c>
      <c r="P82" s="32">
        <f t="shared" ref="P82:P101" si="61">G82/G$101</f>
        <v>1.658830982628122E-2</v>
      </c>
      <c r="Q82" s="32">
        <f t="shared" ref="Q82:Q101" si="62">H82/H$101</f>
        <v>1.703477251548987E-2</v>
      </c>
      <c r="R82" s="32">
        <f t="shared" si="55"/>
        <v>1.0334105315605422E-2</v>
      </c>
      <c r="S82" s="32">
        <f t="shared" si="56"/>
        <v>8.6767687444148714E-3</v>
      </c>
      <c r="T82" s="30"/>
    </row>
    <row r="83" spans="2:20" x14ac:dyDescent="0.25">
      <c r="B83" s="1" t="s">
        <v>42</v>
      </c>
      <c r="C83" s="2">
        <f t="shared" si="52"/>
        <v>0</v>
      </c>
      <c r="D83" s="2">
        <f t="shared" si="52"/>
        <v>297.74200000000002</v>
      </c>
      <c r="E83" s="2">
        <f t="shared" si="52"/>
        <v>204.78</v>
      </c>
      <c r="F83" s="2">
        <f t="shared" si="52"/>
        <v>95.330700000000007</v>
      </c>
      <c r="G83" s="2">
        <f t="shared" si="52"/>
        <v>1535.4247</v>
      </c>
      <c r="H83" s="2">
        <f t="shared" si="52"/>
        <v>2471.4</v>
      </c>
      <c r="I83" s="2">
        <f t="shared" si="53"/>
        <v>0</v>
      </c>
      <c r="J83" s="2">
        <f t="shared" si="53"/>
        <v>0</v>
      </c>
      <c r="L83" s="32">
        <f t="shared" si="57"/>
        <v>0</v>
      </c>
      <c r="M83" s="32">
        <f t="shared" si="58"/>
        <v>7.781953460122234E-3</v>
      </c>
      <c r="N83" s="32">
        <f t="shared" si="59"/>
        <v>5.6448274564407479E-3</v>
      </c>
      <c r="O83" s="32">
        <f t="shared" si="60"/>
        <v>1.2039052707962267E-3</v>
      </c>
      <c r="P83" s="32">
        <f t="shared" si="61"/>
        <v>2.0122703477709981E-2</v>
      </c>
      <c r="Q83" s="32">
        <f t="shared" si="62"/>
        <v>3.2696300413608194E-2</v>
      </c>
      <c r="R83" s="32">
        <f t="shared" si="55"/>
        <v>0</v>
      </c>
      <c r="S83" s="32">
        <f t="shared" si="56"/>
        <v>0</v>
      </c>
      <c r="T83" s="30"/>
    </row>
    <row r="84" spans="2:20" x14ac:dyDescent="0.25">
      <c r="B84" s="1" t="s">
        <v>43</v>
      </c>
      <c r="C84" s="2">
        <f t="shared" si="52"/>
        <v>2937.2560000000003</v>
      </c>
      <c r="D84" s="2">
        <f t="shared" si="52"/>
        <v>1607.8068000000001</v>
      </c>
      <c r="E84" s="2">
        <f t="shared" si="52"/>
        <v>599.32280000000003</v>
      </c>
      <c r="F84" s="2">
        <f t="shared" si="52"/>
        <v>441.39420000000001</v>
      </c>
      <c r="G84" s="2">
        <f t="shared" si="52"/>
        <v>713.6481</v>
      </c>
      <c r="H84" s="2">
        <f t="shared" si="52"/>
        <v>1435.8833999999999</v>
      </c>
      <c r="I84" s="2">
        <f t="shared" si="53"/>
        <v>190.84140000000002</v>
      </c>
      <c r="J84" s="2">
        <f t="shared" si="53"/>
        <v>0</v>
      </c>
      <c r="L84" s="32">
        <f t="shared" si="57"/>
        <v>7.6505718412116008E-2</v>
      </c>
      <c r="M84" s="32">
        <f t="shared" si="58"/>
        <v>4.2022548684660065E-2</v>
      </c>
      <c r="N84" s="32">
        <f t="shared" si="59"/>
        <v>1.6520528355849922E-2</v>
      </c>
      <c r="O84" s="32">
        <f t="shared" si="60"/>
        <v>5.5742463223167754E-3</v>
      </c>
      <c r="P84" s="32">
        <f t="shared" si="61"/>
        <v>9.3528058417525258E-3</v>
      </c>
      <c r="Q84" s="32">
        <f t="shared" si="62"/>
        <v>1.899655054030636E-2</v>
      </c>
      <c r="R84" s="32">
        <f t="shared" si="55"/>
        <v>1.6331577150554999E-3</v>
      </c>
      <c r="S84" s="32">
        <f t="shared" si="56"/>
        <v>0</v>
      </c>
      <c r="T84" s="30"/>
    </row>
    <row r="85" spans="2:20" x14ac:dyDescent="0.25">
      <c r="B85" s="1" t="s">
        <v>44</v>
      </c>
      <c r="C85" s="2">
        <f t="shared" si="52"/>
        <v>175.33620000000002</v>
      </c>
      <c r="D85" s="2">
        <f t="shared" si="52"/>
        <v>92.953600000000009</v>
      </c>
      <c r="E85" s="2">
        <f t="shared" si="52"/>
        <v>109.21599999999999</v>
      </c>
      <c r="F85" s="2">
        <f t="shared" si="52"/>
        <v>750.89250000000004</v>
      </c>
      <c r="G85" s="2">
        <f t="shared" si="52"/>
        <v>712.37599999999998</v>
      </c>
      <c r="H85" s="2">
        <f t="shared" si="52"/>
        <v>743.89139999999998</v>
      </c>
      <c r="I85" s="2">
        <f t="shared" si="53"/>
        <v>2347.2413999999999</v>
      </c>
      <c r="J85" s="2">
        <f t="shared" si="53"/>
        <v>2329</v>
      </c>
      <c r="L85" s="32">
        <f t="shared" si="57"/>
        <v>4.5669229868456999E-3</v>
      </c>
      <c r="M85" s="32">
        <f t="shared" si="58"/>
        <v>2.4294879095015758E-3</v>
      </c>
      <c r="N85" s="32">
        <f t="shared" si="59"/>
        <v>3.0105746434350654E-3</v>
      </c>
      <c r="O85" s="32">
        <f t="shared" si="60"/>
        <v>9.482815489148361E-3</v>
      </c>
      <c r="P85" s="32">
        <f t="shared" si="61"/>
        <v>9.3361341735854093E-3</v>
      </c>
      <c r="Q85" s="32">
        <f t="shared" si="62"/>
        <v>9.8415864244960662E-3</v>
      </c>
      <c r="R85" s="32">
        <f t="shared" si="55"/>
        <v>2.0086917207208038E-2</v>
      </c>
      <c r="S85" s="32">
        <f t="shared" si="56"/>
        <v>2.2378952830279328E-2</v>
      </c>
      <c r="T85" s="30"/>
    </row>
    <row r="86" spans="2:20" x14ac:dyDescent="0.25">
      <c r="B86" s="1" t="s">
        <v>70</v>
      </c>
      <c r="C86" s="2">
        <f t="shared" si="52"/>
        <v>0</v>
      </c>
      <c r="D86" s="2">
        <f t="shared" si="52"/>
        <v>0</v>
      </c>
      <c r="E86" s="2">
        <f t="shared" si="52"/>
        <v>154.26759999999999</v>
      </c>
      <c r="F86" s="2">
        <f t="shared" si="52"/>
        <v>159.31980000000001</v>
      </c>
      <c r="G86" s="2">
        <f t="shared" si="52"/>
        <v>95.407499999999999</v>
      </c>
      <c r="H86" s="2">
        <f t="shared" si="52"/>
        <v>0</v>
      </c>
      <c r="I86" s="2">
        <f t="shared" si="53"/>
        <v>0</v>
      </c>
      <c r="J86" s="2">
        <f t="shared" si="53"/>
        <v>0</v>
      </c>
      <c r="L86" s="32">
        <f t="shared" si="57"/>
        <v>0</v>
      </c>
      <c r="M86" s="32">
        <f t="shared" si="58"/>
        <v>0</v>
      </c>
      <c r="N86" s="32">
        <f t="shared" si="59"/>
        <v>4.2524366838520298E-3</v>
      </c>
      <c r="O86" s="32">
        <f t="shared" si="60"/>
        <v>2.0120060690019133E-3</v>
      </c>
      <c r="P86" s="32">
        <f t="shared" si="61"/>
        <v>1.2503751125337603E-3</v>
      </c>
      <c r="Q86" s="32">
        <f t="shared" si="62"/>
        <v>0</v>
      </c>
      <c r="R86" s="32">
        <f t="shared" si="55"/>
        <v>0</v>
      </c>
      <c r="S86" s="32">
        <f t="shared" si="56"/>
        <v>0</v>
      </c>
      <c r="T86" s="30"/>
    </row>
    <row r="87" spans="2:20" x14ac:dyDescent="0.25">
      <c r="B87" s="1" t="s">
        <v>29</v>
      </c>
      <c r="C87" s="2">
        <f t="shared" si="52"/>
        <v>0</v>
      </c>
      <c r="D87" s="2">
        <f t="shared" si="52"/>
        <v>0</v>
      </c>
      <c r="E87" s="2">
        <f t="shared" si="52"/>
        <v>0</v>
      </c>
      <c r="F87" s="2">
        <f t="shared" si="52"/>
        <v>0</v>
      </c>
      <c r="G87" s="2">
        <f t="shared" si="52"/>
        <v>0</v>
      </c>
      <c r="H87" s="2">
        <f t="shared" si="52"/>
        <v>67.963499999999996</v>
      </c>
      <c r="I87" s="2">
        <f t="shared" si="53"/>
        <v>0</v>
      </c>
      <c r="J87" s="2">
        <f t="shared" si="53"/>
        <v>0</v>
      </c>
      <c r="L87" s="32">
        <f t="shared" si="57"/>
        <v>0</v>
      </c>
      <c r="M87" s="32">
        <f t="shared" si="58"/>
        <v>0</v>
      </c>
      <c r="N87" s="32">
        <f t="shared" si="59"/>
        <v>0</v>
      </c>
      <c r="O87" s="32">
        <f t="shared" si="60"/>
        <v>0</v>
      </c>
      <c r="P87" s="32">
        <f t="shared" si="61"/>
        <v>0</v>
      </c>
      <c r="Q87" s="32">
        <f t="shared" si="62"/>
        <v>8.9914826137422533E-4</v>
      </c>
      <c r="R87" s="32">
        <f t="shared" si="55"/>
        <v>0</v>
      </c>
      <c r="S87" s="32">
        <f t="shared" si="56"/>
        <v>0</v>
      </c>
      <c r="T87" s="30"/>
    </row>
    <row r="88" spans="2:20" x14ac:dyDescent="0.25">
      <c r="B88" s="1" t="s">
        <v>46</v>
      </c>
      <c r="C88" s="2">
        <f t="shared" si="52"/>
        <v>4467.3266000000003</v>
      </c>
      <c r="D88" s="2">
        <f t="shared" si="52"/>
        <v>4394.9624000000003</v>
      </c>
      <c r="E88" s="2">
        <f t="shared" si="52"/>
        <v>4431.4391999999998</v>
      </c>
      <c r="F88" s="2">
        <f t="shared" si="52"/>
        <v>4830.5241000000005</v>
      </c>
      <c r="G88" s="2">
        <f t="shared" si="52"/>
        <v>4510.8666000000003</v>
      </c>
      <c r="H88" s="2">
        <f t="shared" si="52"/>
        <v>4773.5091000000002</v>
      </c>
      <c r="I88" s="2">
        <f t="shared" si="53"/>
        <v>8367.9102000000003</v>
      </c>
      <c r="J88" s="2">
        <f t="shared" si="53"/>
        <v>8780</v>
      </c>
      <c r="L88" s="32">
        <f t="shared" si="57"/>
        <v>0.11635895234006011</v>
      </c>
      <c r="M88" s="32">
        <f t="shared" si="58"/>
        <v>0.11486922522112138</v>
      </c>
      <c r="N88" s="32">
        <f t="shared" si="59"/>
        <v>0.12215406615737778</v>
      </c>
      <c r="O88" s="32">
        <f t="shared" si="60"/>
        <v>6.1003364338017028E-2</v>
      </c>
      <c r="P88" s="32">
        <f t="shared" si="61"/>
        <v>5.9117735320596186E-2</v>
      </c>
      <c r="Q88" s="32">
        <f t="shared" si="62"/>
        <v>6.3152904248884228E-2</v>
      </c>
      <c r="R88" s="32">
        <f t="shared" si="55"/>
        <v>7.1609813709297934E-2</v>
      </c>
      <c r="S88" s="32">
        <f t="shared" si="56"/>
        <v>8.4365481257987332E-2</v>
      </c>
      <c r="T88" s="44">
        <f>AVERAGE(L88:S88)</f>
        <v>8.6578942824167754E-2</v>
      </c>
    </row>
    <row r="89" spans="2:20" x14ac:dyDescent="0.25">
      <c r="B89" s="1" t="s">
        <v>71</v>
      </c>
      <c r="C89" s="2">
        <f t="shared" si="52"/>
        <v>0</v>
      </c>
      <c r="D89" s="2">
        <f t="shared" si="52"/>
        <v>0</v>
      </c>
      <c r="E89" s="2">
        <f t="shared" si="52"/>
        <v>0</v>
      </c>
      <c r="F89" s="2">
        <f t="shared" si="52"/>
        <v>564.14880000000005</v>
      </c>
      <c r="G89" s="2">
        <f t="shared" si="52"/>
        <v>730.18539999999996</v>
      </c>
      <c r="H89" s="2">
        <f t="shared" si="52"/>
        <v>708.05610000000001</v>
      </c>
      <c r="I89" s="2">
        <f t="shared" si="53"/>
        <v>1105.155</v>
      </c>
      <c r="J89" s="2">
        <f t="shared" si="53"/>
        <v>1380</v>
      </c>
      <c r="L89" s="32">
        <f t="shared" si="57"/>
        <v>0</v>
      </c>
      <c r="M89" s="32">
        <f t="shared" si="58"/>
        <v>0</v>
      </c>
      <c r="N89" s="32">
        <f t="shared" si="59"/>
        <v>0</v>
      </c>
      <c r="O89" s="32">
        <f t="shared" si="60"/>
        <v>7.1244805066297259E-3</v>
      </c>
      <c r="P89" s="32">
        <f t="shared" si="61"/>
        <v>9.5695375279250452E-3</v>
      </c>
      <c r="Q89" s="32">
        <f t="shared" si="62"/>
        <v>9.3674900684987475E-3</v>
      </c>
      <c r="R89" s="32">
        <f t="shared" si="55"/>
        <v>9.4575517397281761E-3</v>
      </c>
      <c r="S89" s="32">
        <f t="shared" si="56"/>
        <v>1.3260178147610767E-2</v>
      </c>
      <c r="T89" s="30"/>
    </row>
    <row r="90" spans="2:20" s="31" customFormat="1" x14ac:dyDescent="0.25">
      <c r="B90" s="14" t="s">
        <v>133</v>
      </c>
      <c r="C90" s="15">
        <f>SUM(C81:C89)</f>
        <v>26964.309800000006</v>
      </c>
      <c r="D90" s="15">
        <f t="shared" ref="D90:H90" si="63">SUM(D81:D89)</f>
        <v>26753.207999999999</v>
      </c>
      <c r="E90" s="15">
        <f t="shared" si="63"/>
        <v>25426.850000000002</v>
      </c>
      <c r="F90" s="15">
        <f t="shared" si="63"/>
        <v>31389.918300000001</v>
      </c>
      <c r="G90" s="15">
        <f t="shared" si="63"/>
        <v>31763.064899999998</v>
      </c>
      <c r="H90" s="15">
        <f t="shared" si="63"/>
        <v>34288.203600000008</v>
      </c>
      <c r="I90" s="15">
        <f>SUM(I81:I89)</f>
        <v>41558.140800000001</v>
      </c>
      <c r="J90" s="15">
        <f>SUM(J81:J89)</f>
        <v>43141</v>
      </c>
      <c r="L90" s="34">
        <f t="shared" si="57"/>
        <v>0.70233030172918542</v>
      </c>
      <c r="M90" s="34">
        <f t="shared" si="58"/>
        <v>0.69923698895342212</v>
      </c>
      <c r="N90" s="34">
        <f t="shared" si="59"/>
        <v>0.70089940917472626</v>
      </c>
      <c r="O90" s="34">
        <f t="shared" si="60"/>
        <v>0.39641467115245071</v>
      </c>
      <c r="P90" s="34">
        <f t="shared" si="61"/>
        <v>0.41627488246473943</v>
      </c>
      <c r="Q90" s="34">
        <f t="shared" si="62"/>
        <v>0.45362847193840022</v>
      </c>
      <c r="R90" s="34">
        <f t="shared" si="55"/>
        <v>0.35564085293276371</v>
      </c>
      <c r="S90" s="34">
        <f t="shared" si="56"/>
        <v>0.41453430830875077</v>
      </c>
      <c r="T90" s="33">
        <f>AVERAGE(L90:S90)</f>
        <v>0.51736998583180482</v>
      </c>
    </row>
    <row r="91" spans="2:20" x14ac:dyDescent="0.25">
      <c r="B91" s="19" t="s">
        <v>47</v>
      </c>
      <c r="C91" s="20">
        <f>IFERROR(C$1*C35,0)</f>
        <v>4335.4498000000003</v>
      </c>
      <c r="D91" s="20">
        <f t="shared" ref="D91:H91" si="64">IFERROR(D$1*D35,0)</f>
        <v>5703.5748000000003</v>
      </c>
      <c r="E91" s="20">
        <f t="shared" si="64"/>
        <v>6110.6351999999997</v>
      </c>
      <c r="F91" s="20">
        <f t="shared" si="64"/>
        <v>12688.124400000001</v>
      </c>
      <c r="G91" s="20">
        <f t="shared" si="64"/>
        <v>11109.249299999999</v>
      </c>
      <c r="H91" s="20">
        <f t="shared" si="64"/>
        <v>7644.0402000000004</v>
      </c>
      <c r="I91" s="20">
        <f t="shared" ref="I91:J99" si="65">IFERROR(I$1*I35,0)</f>
        <v>18750.976200000001</v>
      </c>
      <c r="J91" s="100">
        <f t="shared" si="65"/>
        <v>12682</v>
      </c>
      <c r="K91" s="21"/>
      <c r="L91" s="26">
        <f t="shared" si="57"/>
        <v>0.1129240017174753</v>
      </c>
      <c r="M91" s="26">
        <f t="shared" si="58"/>
        <v>0.14907185969707323</v>
      </c>
      <c r="N91" s="26">
        <f t="shared" si="59"/>
        <v>0.1684416513001919</v>
      </c>
      <c r="O91" s="26">
        <f t="shared" si="60"/>
        <v>0.16023484398707039</v>
      </c>
      <c r="P91" s="26">
        <f t="shared" si="61"/>
        <v>0.14559367810343105</v>
      </c>
      <c r="Q91" s="26">
        <f t="shared" si="62"/>
        <v>0.10112965717929015</v>
      </c>
      <c r="R91" s="26">
        <f t="shared" si="55"/>
        <v>0.16046466566401241</v>
      </c>
      <c r="S91" s="26">
        <f t="shared" si="56"/>
        <v>0.12185911541159401</v>
      </c>
      <c r="T91" s="27">
        <f>AVERAGE(L91:S91)</f>
        <v>0.13996493413251732</v>
      </c>
    </row>
    <row r="92" spans="2:20" x14ac:dyDescent="0.25">
      <c r="B92" s="1" t="s">
        <v>48</v>
      </c>
      <c r="C92" s="2">
        <f t="shared" ref="C92:H92" si="66">IFERROR(C$1*C36,0)</f>
        <v>716.33080000000007</v>
      </c>
      <c r="D92" s="2">
        <f t="shared" si="66"/>
        <v>659.38960000000009</v>
      </c>
      <c r="E92" s="2">
        <f t="shared" si="66"/>
        <v>734.47759999999994</v>
      </c>
      <c r="F92" s="2">
        <f t="shared" si="66"/>
        <v>795.29309999999998</v>
      </c>
      <c r="G92" s="2">
        <f t="shared" si="66"/>
        <v>1134.7131999999999</v>
      </c>
      <c r="H92" s="2">
        <f t="shared" si="66"/>
        <v>1325.9060999999999</v>
      </c>
      <c r="I92" s="2">
        <f t="shared" si="65"/>
        <v>3093.3558000000003</v>
      </c>
      <c r="J92" s="2">
        <f t="shared" si="65"/>
        <v>2292</v>
      </c>
      <c r="L92" s="32">
        <f t="shared" si="57"/>
        <v>1.8658027245403802E-2</v>
      </c>
      <c r="M92" s="32">
        <f t="shared" si="58"/>
        <v>1.7234179858026805E-2</v>
      </c>
      <c r="N92" s="32">
        <f t="shared" si="59"/>
        <v>2.0246114477100813E-2</v>
      </c>
      <c r="O92" s="32">
        <f t="shared" si="60"/>
        <v>1.0043538491984959E-2</v>
      </c>
      <c r="P92" s="32">
        <f t="shared" si="61"/>
        <v>1.4871128005068188E-2</v>
      </c>
      <c r="Q92" s="32">
        <f t="shared" si="62"/>
        <v>1.7541565171900798E-2</v>
      </c>
      <c r="R92" s="32">
        <f t="shared" si="55"/>
        <v>2.6471917991492819E-2</v>
      </c>
      <c r="S92" s="32">
        <f t="shared" si="56"/>
        <v>2.2023426314727444E-2</v>
      </c>
      <c r="T92" s="30"/>
    </row>
    <row r="93" spans="2:20" x14ac:dyDescent="0.25">
      <c r="B93" s="1" t="s">
        <v>49</v>
      </c>
      <c r="C93" s="2">
        <f t="shared" ref="C93:H93" si="67">IFERROR(C$1*C37,0)</f>
        <v>149.86000000000001</v>
      </c>
      <c r="D93" s="2">
        <f t="shared" si="67"/>
        <v>0</v>
      </c>
      <c r="E93" s="2">
        <f t="shared" si="67"/>
        <v>0</v>
      </c>
      <c r="F93" s="2">
        <f t="shared" si="67"/>
        <v>0</v>
      </c>
      <c r="G93" s="2">
        <f t="shared" si="67"/>
        <v>44.523499999999999</v>
      </c>
      <c r="H93" s="2">
        <f t="shared" si="67"/>
        <v>312.63209999999998</v>
      </c>
      <c r="I93" s="2">
        <f t="shared" si="65"/>
        <v>48.519000000000005</v>
      </c>
      <c r="J93" s="2">
        <f t="shared" si="65"/>
        <v>0</v>
      </c>
      <c r="L93" s="32">
        <f t="shared" si="57"/>
        <v>3.9033529802100001E-3</v>
      </c>
      <c r="M93" s="32">
        <f t="shared" si="58"/>
        <v>0</v>
      </c>
      <c r="N93" s="32">
        <f t="shared" si="59"/>
        <v>0</v>
      </c>
      <c r="O93" s="32">
        <f t="shared" si="60"/>
        <v>0</v>
      </c>
      <c r="P93" s="32">
        <f t="shared" si="61"/>
        <v>5.8350838584908808E-4</v>
      </c>
      <c r="Q93" s="32">
        <f t="shared" si="62"/>
        <v>4.1360820023214366E-3</v>
      </c>
      <c r="R93" s="32">
        <f t="shared" si="55"/>
        <v>4.1520958857343217E-4</v>
      </c>
      <c r="S93" s="32">
        <f t="shared" si="56"/>
        <v>0</v>
      </c>
      <c r="T93" s="30"/>
    </row>
    <row r="94" spans="2:20" x14ac:dyDescent="0.25">
      <c r="B94" s="1" t="s">
        <v>50</v>
      </c>
      <c r="C94" s="2">
        <f t="shared" ref="C94:H94" si="68">IFERROR(C$1*C38,0)</f>
        <v>0</v>
      </c>
      <c r="D94" s="2">
        <f t="shared" si="68"/>
        <v>0</v>
      </c>
      <c r="E94" s="2">
        <f t="shared" si="68"/>
        <v>0</v>
      </c>
      <c r="F94" s="2">
        <f t="shared" si="68"/>
        <v>0</v>
      </c>
      <c r="G94" s="2">
        <f t="shared" si="68"/>
        <v>0</v>
      </c>
      <c r="H94" s="2">
        <f t="shared" si="68"/>
        <v>0</v>
      </c>
      <c r="I94" s="2">
        <f t="shared" si="65"/>
        <v>0</v>
      </c>
      <c r="J94" s="2">
        <f t="shared" si="65"/>
        <v>0</v>
      </c>
      <c r="L94" s="32">
        <f t="shared" si="57"/>
        <v>0</v>
      </c>
      <c r="M94" s="32">
        <f t="shared" si="58"/>
        <v>0</v>
      </c>
      <c r="N94" s="32">
        <f t="shared" si="59"/>
        <v>0</v>
      </c>
      <c r="O94" s="32">
        <f t="shared" si="60"/>
        <v>0</v>
      </c>
      <c r="P94" s="32">
        <f t="shared" si="61"/>
        <v>0</v>
      </c>
      <c r="Q94" s="32">
        <f t="shared" si="62"/>
        <v>0</v>
      </c>
      <c r="R94" s="32">
        <f t="shared" si="55"/>
        <v>0</v>
      </c>
      <c r="S94" s="32">
        <f t="shared" si="56"/>
        <v>0</v>
      </c>
      <c r="T94" s="30"/>
    </row>
    <row r="95" spans="2:20" x14ac:dyDescent="0.25">
      <c r="B95" s="1" t="s">
        <v>51</v>
      </c>
      <c r="C95" s="2">
        <f t="shared" ref="C95:H95" si="69">IFERROR(C$1*C39,0)</f>
        <v>1257.3254000000002</v>
      </c>
      <c r="D95" s="2">
        <f t="shared" si="69"/>
        <v>1077.6808000000001</v>
      </c>
      <c r="E95" s="2">
        <f t="shared" si="69"/>
        <v>711.26919999999996</v>
      </c>
      <c r="F95" s="2">
        <f t="shared" si="69"/>
        <v>528.8895</v>
      </c>
      <c r="G95" s="2">
        <f t="shared" si="69"/>
        <v>400.7115</v>
      </c>
      <c r="H95" s="2">
        <f t="shared" si="69"/>
        <v>0</v>
      </c>
      <c r="I95" s="2">
        <f t="shared" si="65"/>
        <v>0</v>
      </c>
      <c r="J95" s="2">
        <f t="shared" si="65"/>
        <v>0</v>
      </c>
      <c r="L95" s="32">
        <f t="shared" si="57"/>
        <v>3.2749131503961901E-2</v>
      </c>
      <c r="M95" s="32">
        <f t="shared" si="58"/>
        <v>2.8166875450783894E-2</v>
      </c>
      <c r="N95" s="32">
        <f t="shared" si="59"/>
        <v>1.9606367365370862E-2</v>
      </c>
      <c r="O95" s="32">
        <f t="shared" si="60"/>
        <v>6.6792004749653671E-3</v>
      </c>
      <c r="P95" s="32">
        <f t="shared" si="61"/>
        <v>5.2515754726417925E-3</v>
      </c>
      <c r="Q95" s="32">
        <f t="shared" si="62"/>
        <v>0</v>
      </c>
      <c r="R95" s="32">
        <f t="shared" si="55"/>
        <v>0</v>
      </c>
      <c r="S95" s="32">
        <f t="shared" si="56"/>
        <v>0</v>
      </c>
      <c r="T95" s="30"/>
    </row>
    <row r="96" spans="2:20" x14ac:dyDescent="0.25">
      <c r="B96" s="19" t="s">
        <v>52</v>
      </c>
      <c r="C96" s="20">
        <f t="shared" ref="C96:H96" si="70">IFERROR(C$1*C40,0)</f>
        <v>227.78720000000001</v>
      </c>
      <c r="D96" s="20">
        <f t="shared" si="70"/>
        <v>198.97880000000001</v>
      </c>
      <c r="E96" s="20">
        <f t="shared" si="70"/>
        <v>208.87559999999999</v>
      </c>
      <c r="F96" s="20">
        <f t="shared" si="70"/>
        <v>29476.774800000003</v>
      </c>
      <c r="G96" s="20">
        <f t="shared" si="70"/>
        <v>27682.168099999999</v>
      </c>
      <c r="H96" s="20">
        <f t="shared" si="70"/>
        <v>27594.416700000002</v>
      </c>
      <c r="I96" s="20">
        <f t="shared" si="65"/>
        <v>48084.485400000005</v>
      </c>
      <c r="J96" s="20">
        <f t="shared" si="65"/>
        <v>41622</v>
      </c>
      <c r="K96" s="21"/>
      <c r="L96" s="26">
        <f t="shared" si="57"/>
        <v>5.9330965299192002E-3</v>
      </c>
      <c r="M96" s="26">
        <f t="shared" si="58"/>
        <v>5.2006225562768104E-3</v>
      </c>
      <c r="N96" s="26">
        <f t="shared" si="59"/>
        <v>5.7577240055695627E-3</v>
      </c>
      <c r="O96" s="26">
        <f t="shared" si="60"/>
        <v>0.37225410647140317</v>
      </c>
      <c r="P96" s="26">
        <f t="shared" si="61"/>
        <v>0.36279217098462874</v>
      </c>
      <c r="Q96" s="26">
        <f t="shared" si="62"/>
        <v>0.36507054226814234</v>
      </c>
      <c r="R96" s="26">
        <f t="shared" si="55"/>
        <v>0.41149115603576342</v>
      </c>
      <c r="S96" s="26">
        <f t="shared" si="56"/>
        <v>0.39993850352163429</v>
      </c>
      <c r="T96" s="27">
        <f>AVERAGE(L96:S96)</f>
        <v>0.24105474029666721</v>
      </c>
    </row>
    <row r="97" spans="2:21" x14ac:dyDescent="0.25">
      <c r="B97" s="1" t="s">
        <v>53</v>
      </c>
      <c r="C97" s="2">
        <f t="shared" ref="C97:H97" si="71">IFERROR(C$1*C41,0)</f>
        <v>2211.9336000000003</v>
      </c>
      <c r="D97" s="2">
        <f t="shared" si="71"/>
        <v>2503.9376000000002</v>
      </c>
      <c r="E97" s="2">
        <f t="shared" si="71"/>
        <v>2458.7251999999999</v>
      </c>
      <c r="F97" s="2">
        <f t="shared" si="71"/>
        <v>3732.2622000000001</v>
      </c>
      <c r="G97" s="2">
        <f t="shared" si="71"/>
        <v>3633.1176</v>
      </c>
      <c r="H97" s="2">
        <f t="shared" si="71"/>
        <v>3222.7056000000002</v>
      </c>
      <c r="I97" s="2">
        <f t="shared" si="65"/>
        <v>2830.2750000000001</v>
      </c>
      <c r="J97" s="2">
        <f t="shared" si="65"/>
        <v>2069</v>
      </c>
      <c r="L97" s="32">
        <f t="shared" si="57"/>
        <v>5.7613489987899606E-2</v>
      </c>
      <c r="M97" s="32">
        <f t="shared" si="58"/>
        <v>6.5444330562198699E-2</v>
      </c>
      <c r="N97" s="32">
        <f t="shared" si="59"/>
        <v>6.7775561660331912E-2</v>
      </c>
      <c r="O97" s="32">
        <f t="shared" si="60"/>
        <v>4.7133715944323508E-2</v>
      </c>
      <c r="P97" s="32">
        <f t="shared" si="61"/>
        <v>4.7614284285285587E-2</v>
      </c>
      <c r="Q97" s="32">
        <f t="shared" si="62"/>
        <v>4.2635975739345092E-2</v>
      </c>
      <c r="R97" s="32">
        <f t="shared" si="55"/>
        <v>2.4220559333450208E-2</v>
      </c>
      <c r="S97" s="32">
        <f t="shared" si="56"/>
        <v>1.9880658396671504E-2</v>
      </c>
      <c r="T97" s="30"/>
    </row>
    <row r="98" spans="2:21" x14ac:dyDescent="0.25">
      <c r="B98" s="1" t="s">
        <v>54</v>
      </c>
      <c r="C98" s="2">
        <f t="shared" ref="C98:H98" si="72">IFERROR(C$1*C42,0)</f>
        <v>1988.6422000000002</v>
      </c>
      <c r="D98" s="2">
        <f t="shared" si="72"/>
        <v>717.48560000000009</v>
      </c>
      <c r="E98" s="2">
        <f t="shared" si="72"/>
        <v>0</v>
      </c>
      <c r="F98" s="2">
        <f t="shared" si="72"/>
        <v>0</v>
      </c>
      <c r="G98" s="2">
        <f t="shared" si="72"/>
        <v>0</v>
      </c>
      <c r="H98" s="2">
        <f t="shared" si="72"/>
        <v>0</v>
      </c>
      <c r="I98" s="2">
        <f t="shared" si="65"/>
        <v>0</v>
      </c>
      <c r="J98" s="2">
        <f t="shared" si="65"/>
        <v>0</v>
      </c>
      <c r="L98" s="32">
        <f t="shared" si="57"/>
        <v>5.1797494047386705E-2</v>
      </c>
      <c r="M98" s="32">
        <f t="shared" si="58"/>
        <v>1.8752609801465286E-2</v>
      </c>
      <c r="N98" s="32">
        <f t="shared" si="59"/>
        <v>0</v>
      </c>
      <c r="O98" s="32">
        <f t="shared" si="60"/>
        <v>0</v>
      </c>
      <c r="P98" s="32">
        <f t="shared" si="61"/>
        <v>0</v>
      </c>
      <c r="Q98" s="32">
        <f t="shared" si="62"/>
        <v>0</v>
      </c>
      <c r="R98" s="32">
        <f t="shared" si="55"/>
        <v>0</v>
      </c>
      <c r="S98" s="32">
        <f t="shared" si="56"/>
        <v>0</v>
      </c>
      <c r="T98" s="30"/>
    </row>
    <row r="99" spans="2:21" x14ac:dyDescent="0.25">
      <c r="B99" s="1" t="s">
        <v>55</v>
      </c>
      <c r="C99" s="2">
        <f t="shared" ref="C99:H99" si="73">IFERROR(C$1*C43,0)</f>
        <v>540.9946000000001</v>
      </c>
      <c r="D99" s="2">
        <f t="shared" si="73"/>
        <v>646.3180000000001</v>
      </c>
      <c r="E99" s="2">
        <f t="shared" si="73"/>
        <v>626.6268</v>
      </c>
      <c r="F99" s="2">
        <f t="shared" si="73"/>
        <v>573.29010000000005</v>
      </c>
      <c r="G99" s="2">
        <f t="shared" si="73"/>
        <v>535.55409999999995</v>
      </c>
      <c r="H99" s="2">
        <f t="shared" si="73"/>
        <v>1198.6290000000001</v>
      </c>
      <c r="I99" s="2">
        <f t="shared" si="65"/>
        <v>2488.4856</v>
      </c>
      <c r="J99" s="2">
        <f t="shared" si="65"/>
        <v>2265</v>
      </c>
      <c r="L99" s="32">
        <f t="shared" si="57"/>
        <v>1.4091104258558102E-2</v>
      </c>
      <c r="M99" s="32">
        <f t="shared" si="58"/>
        <v>1.6892533120753145E-2</v>
      </c>
      <c r="N99" s="32">
        <f t="shared" si="59"/>
        <v>1.727317201670869E-2</v>
      </c>
      <c r="O99" s="32">
        <f t="shared" si="60"/>
        <v>7.2399234778019661E-3</v>
      </c>
      <c r="P99" s="32">
        <f t="shared" si="61"/>
        <v>7.0187722983561735E-3</v>
      </c>
      <c r="Q99" s="32">
        <f t="shared" si="62"/>
        <v>1.5857705700599977E-2</v>
      </c>
      <c r="R99" s="32">
        <f t="shared" si="55"/>
        <v>2.129563845394403E-2</v>
      </c>
      <c r="S99" s="32">
        <f t="shared" si="56"/>
        <v>2.1763988046622017E-2</v>
      </c>
      <c r="T99" s="30"/>
    </row>
    <row r="100" spans="2:21" s="31" customFormat="1" x14ac:dyDescent="0.25">
      <c r="B100" s="14" t="s">
        <v>134</v>
      </c>
      <c r="C100" s="15">
        <f>SUM(C91:C99)</f>
        <v>11428.3236</v>
      </c>
      <c r="D100" s="15">
        <f t="shared" ref="D100:H100" si="74">SUM(D91:D99)</f>
        <v>11507.3652</v>
      </c>
      <c r="E100" s="15">
        <f t="shared" si="74"/>
        <v>10850.6096</v>
      </c>
      <c r="F100" s="15">
        <f t="shared" si="74"/>
        <v>47794.634099999996</v>
      </c>
      <c r="G100" s="15">
        <f t="shared" si="74"/>
        <v>44540.037299999996</v>
      </c>
      <c r="H100" s="15">
        <f t="shared" si="74"/>
        <v>41298.329700000002</v>
      </c>
      <c r="I100" s="15">
        <f>SUM(I91:I99)</f>
        <v>75296.096999999994</v>
      </c>
      <c r="J100" s="15">
        <f>SUM(J91:J99)</f>
        <v>60930</v>
      </c>
      <c r="L100" s="34">
        <f t="shared" si="57"/>
        <v>0.29766969827081458</v>
      </c>
      <c r="M100" s="34">
        <f t="shared" si="58"/>
        <v>0.30076301104657788</v>
      </c>
      <c r="N100" s="34">
        <f t="shared" si="59"/>
        <v>0.29910059082527374</v>
      </c>
      <c r="O100" s="34">
        <f t="shared" si="60"/>
        <v>0.60358532884754923</v>
      </c>
      <c r="P100" s="34">
        <f t="shared" si="61"/>
        <v>0.58372511753526057</v>
      </c>
      <c r="Q100" s="34">
        <f t="shared" si="62"/>
        <v>0.54637152806159983</v>
      </c>
      <c r="R100" s="34">
        <f t="shared" si="55"/>
        <v>0.64435914706723618</v>
      </c>
      <c r="S100" s="34">
        <f t="shared" si="56"/>
        <v>0.58546569169124929</v>
      </c>
      <c r="T100" s="33">
        <f>AVERAGE(L100:S100)</f>
        <v>0.48263001416819518</v>
      </c>
    </row>
    <row r="101" spans="2:21" x14ac:dyDescent="0.25">
      <c r="B101" s="7" t="s">
        <v>56</v>
      </c>
      <c r="C101" s="8">
        <f>C90+C100</f>
        <v>38392.633400000006</v>
      </c>
      <c r="D101" s="8">
        <f t="shared" ref="D101:H101" si="75">D90+D100</f>
        <v>38260.573199999999</v>
      </c>
      <c r="E101" s="8">
        <f t="shared" si="75"/>
        <v>36277.459600000002</v>
      </c>
      <c r="F101" s="8">
        <f t="shared" si="75"/>
        <v>79184.5524</v>
      </c>
      <c r="G101" s="8">
        <f t="shared" si="75"/>
        <v>76303.102199999994</v>
      </c>
      <c r="H101" s="8">
        <f t="shared" si="75"/>
        <v>75586.53330000001</v>
      </c>
      <c r="I101" s="8">
        <f>I90+I100</f>
        <v>116854.2378</v>
      </c>
      <c r="J101" s="8">
        <f>J90+J100</f>
        <v>104071</v>
      </c>
      <c r="L101" s="32">
        <f t="shared" si="57"/>
        <v>1</v>
      </c>
      <c r="M101" s="32">
        <f t="shared" si="58"/>
        <v>1</v>
      </c>
      <c r="N101" s="32">
        <f t="shared" si="59"/>
        <v>1</v>
      </c>
      <c r="O101" s="32">
        <f t="shared" si="60"/>
        <v>1</v>
      </c>
      <c r="P101" s="32">
        <f t="shared" si="61"/>
        <v>1</v>
      </c>
      <c r="Q101" s="32">
        <f t="shared" si="62"/>
        <v>1</v>
      </c>
      <c r="R101" s="32">
        <f t="shared" si="55"/>
        <v>1</v>
      </c>
      <c r="S101" s="32">
        <f t="shared" si="56"/>
        <v>1</v>
      </c>
      <c r="T101" s="30"/>
    </row>
    <row r="102" spans="2:21" x14ac:dyDescent="0.25">
      <c r="B102" s="7" t="s">
        <v>57</v>
      </c>
      <c r="C102" s="8">
        <f t="shared" ref="C102:E102" si="76">C109+C110</f>
        <v>37599.874000000003</v>
      </c>
      <c r="D102" s="8">
        <f t="shared" si="76"/>
        <v>39124.751199999999</v>
      </c>
      <c r="E102" s="8">
        <f t="shared" si="76"/>
        <v>38815.366400000006</v>
      </c>
      <c r="F102" s="8">
        <f>F109+F110</f>
        <v>35032.073400000001</v>
      </c>
      <c r="G102" s="8">
        <f t="shared" ref="G102:H102" si="77">G109+G110</f>
        <v>34868.261000000006</v>
      </c>
      <c r="H102" s="8">
        <f t="shared" si="77"/>
        <v>36183.767400000004</v>
      </c>
      <c r="I102" s="8">
        <f>I109+I110</f>
        <v>35214.012000000002</v>
      </c>
      <c r="J102" s="8">
        <f>J109+J110</f>
        <v>39368</v>
      </c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2:21" x14ac:dyDescent="0.25">
      <c r="B103" s="1" t="s">
        <v>58</v>
      </c>
      <c r="C103" s="2">
        <f t="shared" ref="C103:H108" si="78">IFERROR(C$1*C46,0)</f>
        <v>377.64720000000005</v>
      </c>
      <c r="D103" s="2">
        <f t="shared" si="78"/>
        <v>366.00480000000005</v>
      </c>
      <c r="E103" s="2">
        <f t="shared" si="78"/>
        <v>344.03039999999999</v>
      </c>
      <c r="F103" s="2">
        <f t="shared" si="78"/>
        <v>329.08680000000004</v>
      </c>
      <c r="G103" s="2">
        <f t="shared" si="78"/>
        <v>320.56920000000002</v>
      </c>
      <c r="H103" s="2">
        <f t="shared" si="78"/>
        <v>311.39640000000003</v>
      </c>
      <c r="I103" s="2">
        <f t="shared" ref="I103:J108" si="79">IFERROR(I$1*I46,0)</f>
        <v>271.70640000000003</v>
      </c>
      <c r="J103" s="2">
        <f t="shared" si="79"/>
        <v>252</v>
      </c>
      <c r="L103" s="32">
        <f t="shared" ref="L103:Q103" si="80">C103/C$102</f>
        <v>1.0043842168194501E-2</v>
      </c>
      <c r="M103" s="32">
        <f t="shared" si="80"/>
        <v>9.3548147598188445E-3</v>
      </c>
      <c r="N103" s="32">
        <f t="shared" si="80"/>
        <v>8.8632526730444555E-3</v>
      </c>
      <c r="O103" s="32">
        <f t="shared" si="80"/>
        <v>9.3938716170879014E-3</v>
      </c>
      <c r="P103" s="32">
        <f t="shared" si="80"/>
        <v>9.1937249179131694E-3</v>
      </c>
      <c r="Q103" s="32">
        <f t="shared" si="80"/>
        <v>8.6059695375998897E-3</v>
      </c>
      <c r="R103" s="32">
        <f t="shared" ref="R103:S110" si="81">I103/I$102</f>
        <v>7.7158603796693209E-3</v>
      </c>
      <c r="S103" s="32">
        <f t="shared" si="81"/>
        <v>6.4011379800853483E-3</v>
      </c>
      <c r="T103" s="30"/>
    </row>
    <row r="104" spans="2:21" x14ac:dyDescent="0.25">
      <c r="B104" s="19" t="s">
        <v>59</v>
      </c>
      <c r="C104" s="20">
        <f t="shared" si="78"/>
        <v>30444.059000000005</v>
      </c>
      <c r="D104" s="20">
        <f t="shared" si="78"/>
        <v>31865.656000000003</v>
      </c>
      <c r="E104" s="20">
        <f t="shared" si="78"/>
        <v>32311.553599999999</v>
      </c>
      <c r="F104" s="20">
        <f t="shared" si="78"/>
        <v>29211.677100000001</v>
      </c>
      <c r="G104" s="20">
        <f t="shared" si="78"/>
        <v>29737.881700000002</v>
      </c>
      <c r="H104" s="20">
        <f t="shared" si="78"/>
        <v>31605.498900000002</v>
      </c>
      <c r="I104" s="20">
        <f t="shared" si="79"/>
        <v>30726.543600000001</v>
      </c>
      <c r="J104" s="20">
        <f t="shared" si="79"/>
        <v>34032</v>
      </c>
      <c r="K104" s="21"/>
      <c r="L104" s="26">
        <f t="shared" ref="L104:L110" si="82">C104/C$102</f>
        <v>0.80968513351933047</v>
      </c>
      <c r="M104" s="26">
        <f t="shared" ref="M104:M110" si="83">D104/D$102</f>
        <v>0.81446284059692642</v>
      </c>
      <c r="N104" s="26">
        <f t="shared" ref="N104:N110" si="84">E104/E$102</f>
        <v>0.83244231851434991</v>
      </c>
      <c r="O104" s="26">
        <f t="shared" ref="O104:O110" si="85">F104/F$102</f>
        <v>0.83385521508983818</v>
      </c>
      <c r="P104" s="26">
        <f t="shared" ref="P104:P110" si="86">G104/G$102</f>
        <v>0.85286391827800068</v>
      </c>
      <c r="Q104" s="26">
        <f t="shared" ref="Q104:Q110" si="87">H104/H$102</f>
        <v>0.8734717573936206</v>
      </c>
      <c r="R104" s="26">
        <f t="shared" si="81"/>
        <v>0.87256582976117569</v>
      </c>
      <c r="S104" s="26">
        <f t="shared" si="81"/>
        <v>0.86445844340581179</v>
      </c>
      <c r="T104" s="27">
        <f>AVERAGE(L104:S104)</f>
        <v>0.84422568206988169</v>
      </c>
    </row>
    <row r="105" spans="2:21" x14ac:dyDescent="0.25">
      <c r="B105" s="1" t="s">
        <v>60</v>
      </c>
      <c r="C105" s="2">
        <f t="shared" si="78"/>
        <v>-50.952400000000004</v>
      </c>
      <c r="D105" s="2">
        <f t="shared" si="78"/>
        <v>-39.214800000000004</v>
      </c>
      <c r="E105" s="2">
        <f t="shared" si="78"/>
        <v>-72.355599999999995</v>
      </c>
      <c r="F105" s="2">
        <f t="shared" si="78"/>
        <v>-74.436300000000003</v>
      </c>
      <c r="G105" s="2">
        <f t="shared" si="78"/>
        <v>-235.33850000000001</v>
      </c>
      <c r="H105" s="2">
        <f t="shared" si="78"/>
        <v>-299.0394</v>
      </c>
      <c r="I105" s="2">
        <f t="shared" si="79"/>
        <v>-181.13760000000002</v>
      </c>
      <c r="J105" s="2">
        <f t="shared" si="79"/>
        <v>390</v>
      </c>
      <c r="L105" s="32">
        <f t="shared" si="82"/>
        <v>-1.3551215623754484E-3</v>
      </c>
      <c r="M105" s="32">
        <f t="shared" si="83"/>
        <v>-1.0023015814091618E-3</v>
      </c>
      <c r="N105" s="32">
        <f t="shared" si="84"/>
        <v>-1.8640967923466512E-3</v>
      </c>
      <c r="O105" s="32">
        <f t="shared" si="85"/>
        <v>-2.1248042943413105E-3</v>
      </c>
      <c r="P105" s="32">
        <f t="shared" si="86"/>
        <v>-6.7493615468806993E-3</v>
      </c>
      <c r="Q105" s="32">
        <f t="shared" si="87"/>
        <v>-8.2644628099173539E-3</v>
      </c>
      <c r="R105" s="32">
        <f t="shared" si="81"/>
        <v>-5.143906919779547E-3</v>
      </c>
      <c r="S105" s="32">
        <f t="shared" si="81"/>
        <v>9.9065230644178014E-3</v>
      </c>
      <c r="T105" s="30"/>
    </row>
    <row r="106" spans="2:21" x14ac:dyDescent="0.25">
      <c r="B106" s="1" t="s">
        <v>61</v>
      </c>
      <c r="C106" s="2">
        <f t="shared" si="78"/>
        <v>-106.40060000000001</v>
      </c>
      <c r="D106" s="2">
        <f t="shared" si="78"/>
        <v>2.9048000000000003</v>
      </c>
      <c r="E106" s="2">
        <f t="shared" si="78"/>
        <v>77.816400000000002</v>
      </c>
      <c r="F106" s="2">
        <f t="shared" si="78"/>
        <v>96.636600000000001</v>
      </c>
      <c r="G106" s="2">
        <f t="shared" si="78"/>
        <v>-13.9931</v>
      </c>
      <c r="H106" s="2">
        <f t="shared" si="78"/>
        <v>-259.49700000000001</v>
      </c>
      <c r="I106" s="2">
        <f t="shared" si="79"/>
        <v>-32.346000000000004</v>
      </c>
      <c r="J106" s="2">
        <f t="shared" si="79"/>
        <v>178</v>
      </c>
      <c r="L106" s="32">
        <f t="shared" si="82"/>
        <v>-2.82981267437226E-3</v>
      </c>
      <c r="M106" s="32">
        <f t="shared" si="83"/>
        <v>7.4244561585863847E-5</v>
      </c>
      <c r="N106" s="32">
        <f t="shared" si="84"/>
        <v>2.0047833427124366E-3</v>
      </c>
      <c r="O106" s="32">
        <f t="shared" si="85"/>
        <v>2.7585178558115261E-3</v>
      </c>
      <c r="P106" s="32">
        <f t="shared" si="86"/>
        <v>-4.0131338927398754E-4</v>
      </c>
      <c r="Q106" s="32">
        <f t="shared" si="87"/>
        <v>-7.1716412813332417E-3</v>
      </c>
      <c r="R106" s="32">
        <f t="shared" si="81"/>
        <v>-9.1855480710349051E-4</v>
      </c>
      <c r="S106" s="32">
        <f t="shared" si="81"/>
        <v>4.5214387319650476E-3</v>
      </c>
      <c r="T106" s="30"/>
    </row>
    <row r="107" spans="2:21" x14ac:dyDescent="0.25">
      <c r="B107" s="1" t="s">
        <v>62</v>
      </c>
      <c r="C107" s="2">
        <f t="shared" si="78"/>
        <v>561.97500000000002</v>
      </c>
      <c r="D107" s="2">
        <f t="shared" si="78"/>
        <v>1005.0608000000001</v>
      </c>
      <c r="E107" s="2">
        <f t="shared" si="78"/>
        <v>836.86759999999992</v>
      </c>
      <c r="F107" s="2">
        <f t="shared" si="78"/>
        <v>732.60990000000004</v>
      </c>
      <c r="G107" s="2">
        <f t="shared" si="78"/>
        <v>592.79859999999996</v>
      </c>
      <c r="H107" s="2">
        <f t="shared" si="78"/>
        <v>541.23659999999995</v>
      </c>
      <c r="I107" s="2">
        <f t="shared" si="79"/>
        <v>500.28480000000002</v>
      </c>
      <c r="J107" s="2">
        <f t="shared" si="79"/>
        <v>424</v>
      </c>
      <c r="L107" s="32">
        <f t="shared" si="82"/>
        <v>1.4946193702670385E-2</v>
      </c>
      <c r="M107" s="32">
        <f t="shared" si="83"/>
        <v>2.5688618308708892E-2</v>
      </c>
      <c r="N107" s="32">
        <f t="shared" si="84"/>
        <v>2.1560213843556549E-2</v>
      </c>
      <c r="O107" s="32">
        <f t="shared" si="85"/>
        <v>2.0912547528517112E-2</v>
      </c>
      <c r="P107" s="32">
        <f t="shared" si="86"/>
        <v>1.7001094491061651E-2</v>
      </c>
      <c r="Q107" s="32">
        <f t="shared" si="87"/>
        <v>1.4957994672495045E-2</v>
      </c>
      <c r="R107" s="32">
        <f t="shared" si="81"/>
        <v>1.4206981016533986E-2</v>
      </c>
      <c r="S107" s="32">
        <f t="shared" si="81"/>
        <v>1.0770168664905507E-2</v>
      </c>
      <c r="T107" s="30"/>
    </row>
    <row r="108" spans="2:21" x14ac:dyDescent="0.25">
      <c r="B108" s="19" t="s">
        <v>67</v>
      </c>
      <c r="C108" s="20">
        <f t="shared" si="78"/>
        <v>5923.9658000000009</v>
      </c>
      <c r="D108" s="20">
        <f t="shared" si="78"/>
        <v>5447.9524000000001</v>
      </c>
      <c r="E108" s="20">
        <f t="shared" si="78"/>
        <v>4931.1023999999998</v>
      </c>
      <c r="F108" s="20">
        <f t="shared" si="78"/>
        <v>4629.4155000000001</v>
      </c>
      <c r="G108" s="20">
        <f t="shared" si="78"/>
        <v>4451.0779000000002</v>
      </c>
      <c r="H108" s="20">
        <f t="shared" si="78"/>
        <v>4292.8217999999997</v>
      </c>
      <c r="I108" s="20">
        <f t="shared" si="79"/>
        <v>3802.8114</v>
      </c>
      <c r="J108" s="20">
        <f t="shared" si="79"/>
        <v>3799</v>
      </c>
      <c r="K108" s="21"/>
      <c r="L108" s="26">
        <f t="shared" si="82"/>
        <v>0.15755280988441611</v>
      </c>
      <c r="M108" s="26">
        <f t="shared" si="83"/>
        <v>0.13924567525428763</v>
      </c>
      <c r="N108" s="26">
        <f t="shared" si="84"/>
        <v>0.12703995498030385</v>
      </c>
      <c r="O108" s="26">
        <f t="shared" si="85"/>
        <v>0.13214791620070082</v>
      </c>
      <c r="P108" s="26">
        <f t="shared" si="86"/>
        <v>0.12765414082451659</v>
      </c>
      <c r="Q108" s="26">
        <f t="shared" si="87"/>
        <v>0.11863943719691275</v>
      </c>
      <c r="R108" s="26">
        <f t="shared" si="81"/>
        <v>0.10799142682180037</v>
      </c>
      <c r="S108" s="26">
        <f t="shared" si="81"/>
        <v>9.6499695183905707E-2</v>
      </c>
      <c r="T108" s="27">
        <f>AVERAGE(L108:S108)</f>
        <v>0.12584638204335549</v>
      </c>
    </row>
    <row r="109" spans="2:21" s="31" customFormat="1" x14ac:dyDescent="0.25">
      <c r="B109" s="16" t="s">
        <v>63</v>
      </c>
      <c r="C109" s="15">
        <f>SUM(C103:C108)</f>
        <v>37150.294000000002</v>
      </c>
      <c r="D109" s="15">
        <f t="shared" ref="D109:H109" si="88">SUM(D103:D108)</f>
        <v>38648.364000000001</v>
      </c>
      <c r="E109" s="15">
        <f t="shared" si="88"/>
        <v>38429.014800000004</v>
      </c>
      <c r="F109" s="15">
        <f t="shared" si="88"/>
        <v>34924.989600000001</v>
      </c>
      <c r="G109" s="15">
        <f t="shared" si="88"/>
        <v>34852.995800000004</v>
      </c>
      <c r="H109" s="15">
        <f t="shared" si="88"/>
        <v>36192.417300000001</v>
      </c>
      <c r="I109" s="15">
        <f>SUM(I103:I108)</f>
        <v>35087.8626</v>
      </c>
      <c r="J109" s="15">
        <f>SUM(J103:J108)</f>
        <v>39075</v>
      </c>
      <c r="L109" s="32">
        <f t="shared" si="82"/>
        <v>0.98804304503786367</v>
      </c>
      <c r="M109" s="32">
        <f t="shared" si="83"/>
        <v>0.98782389189991837</v>
      </c>
      <c r="N109" s="32">
        <f t="shared" si="84"/>
        <v>0.99004642656162067</v>
      </c>
      <c r="O109" s="32">
        <f t="shared" si="85"/>
        <v>0.99694326399761424</v>
      </c>
      <c r="P109" s="32">
        <f t="shared" si="86"/>
        <v>0.99956220357533743</v>
      </c>
      <c r="Q109" s="32">
        <f t="shared" si="87"/>
        <v>1.0002390547093776</v>
      </c>
      <c r="R109" s="32">
        <f t="shared" si="81"/>
        <v>0.99641763625229629</v>
      </c>
      <c r="S109" s="32">
        <f t="shared" si="81"/>
        <v>0.99255740703109119</v>
      </c>
      <c r="T109" s="33">
        <f>AVERAGE(L109:S109)</f>
        <v>0.99395411613314</v>
      </c>
    </row>
    <row r="110" spans="2:21" x14ac:dyDescent="0.25">
      <c r="B110" s="1" t="s">
        <v>64</v>
      </c>
      <c r="C110" s="2">
        <f t="shared" ref="C110:H110" si="89">IFERROR(C$1*C53,0)</f>
        <v>449.58000000000004</v>
      </c>
      <c r="D110" s="2">
        <f t="shared" si="89"/>
        <v>476.38720000000006</v>
      </c>
      <c r="E110" s="2">
        <f t="shared" si="89"/>
        <v>386.35160000000002</v>
      </c>
      <c r="F110" s="2">
        <f t="shared" si="89"/>
        <v>107.08380000000001</v>
      </c>
      <c r="G110" s="2">
        <f t="shared" si="89"/>
        <v>15.2652</v>
      </c>
      <c r="H110" s="2">
        <f t="shared" si="89"/>
        <v>-8.6499000000000006</v>
      </c>
      <c r="I110" s="2">
        <f>IFERROR(I$1*I53,0)</f>
        <v>126.1494</v>
      </c>
      <c r="J110" s="2">
        <f>IFERROR(J$1*J53,0)</f>
        <v>293</v>
      </c>
      <c r="L110" s="32">
        <f t="shared" si="82"/>
        <v>1.1956954962136309E-2</v>
      </c>
      <c r="M110" s="32">
        <f t="shared" si="83"/>
        <v>1.2176108100081672E-2</v>
      </c>
      <c r="N110" s="32">
        <f t="shared" si="84"/>
        <v>9.9535734383792897E-3</v>
      </c>
      <c r="O110" s="32">
        <f t="shared" si="85"/>
        <v>3.0567360023857452E-3</v>
      </c>
      <c r="P110" s="32">
        <f t="shared" si="86"/>
        <v>4.3779642466253187E-4</v>
      </c>
      <c r="Q110" s="32">
        <f t="shared" si="87"/>
        <v>-2.3905470937777472E-4</v>
      </c>
      <c r="R110" s="32">
        <f t="shared" si="81"/>
        <v>3.5823637477036129E-3</v>
      </c>
      <c r="S110" s="32">
        <f t="shared" si="81"/>
        <v>7.4425929689087584E-3</v>
      </c>
      <c r="T110" s="30"/>
    </row>
    <row r="111" spans="2:21" x14ac:dyDescent="0.25">
      <c r="B111" s="10" t="s">
        <v>65</v>
      </c>
      <c r="C111" s="11">
        <f>SUM(C101:C102)</f>
        <v>75992.507400000002</v>
      </c>
      <c r="D111" s="11">
        <f t="shared" ref="D111:H111" si="90">SUM(D101:D102)</f>
        <v>77385.324399999998</v>
      </c>
      <c r="E111" s="11">
        <f t="shared" si="90"/>
        <v>75092.826000000001</v>
      </c>
      <c r="F111" s="11">
        <f t="shared" si="90"/>
        <v>114216.62580000001</v>
      </c>
      <c r="G111" s="11">
        <f t="shared" si="90"/>
        <v>111171.36319999999</v>
      </c>
      <c r="H111" s="11">
        <f t="shared" si="90"/>
        <v>111770.30070000002</v>
      </c>
      <c r="I111" s="11">
        <f>SUM(I101:I102)</f>
        <v>152068.24979999999</v>
      </c>
      <c r="J111" s="11">
        <f>SUM(J101:J102)</f>
        <v>143439</v>
      </c>
      <c r="L111" s="32"/>
      <c r="M111" s="32"/>
      <c r="N111" s="32"/>
      <c r="O111" s="32"/>
      <c r="P111" s="32"/>
      <c r="Q111" s="32"/>
      <c r="R111" s="32"/>
      <c r="S111" s="32"/>
      <c r="T111" s="30"/>
      <c r="U111" s="30" t="s">
        <v>150</v>
      </c>
    </row>
    <row r="112" spans="2:21" x14ac:dyDescent="0.25">
      <c r="U112" s="30" t="s">
        <v>152</v>
      </c>
    </row>
    <row r="113" spans="2:21" x14ac:dyDescent="0.25">
      <c r="U113" s="30" t="s">
        <v>153</v>
      </c>
    </row>
    <row r="114" spans="2:21" x14ac:dyDescent="0.25">
      <c r="U114" s="30" t="s">
        <v>154</v>
      </c>
    </row>
    <row r="115" spans="2:21" ht="18.600000000000001" x14ac:dyDescent="0.35">
      <c r="B115" s="4" t="s">
        <v>23</v>
      </c>
      <c r="C115" s="210" t="s">
        <v>2</v>
      </c>
      <c r="D115" s="210"/>
      <c r="E115" s="210"/>
      <c r="F115" s="210"/>
      <c r="G115" s="210"/>
      <c r="H115" s="210"/>
      <c r="I115" s="210"/>
      <c r="J115" s="210"/>
      <c r="L115" s="208" t="s">
        <v>135</v>
      </c>
      <c r="M115" s="208"/>
      <c r="N115" s="208"/>
      <c r="O115" s="208"/>
      <c r="P115" s="208"/>
      <c r="Q115" s="208"/>
      <c r="R115" s="208"/>
      <c r="S115" s="208"/>
    </row>
    <row r="116" spans="2:21" x14ac:dyDescent="0.25">
      <c r="B116" s="17" t="s">
        <v>66</v>
      </c>
      <c r="C116" s="6">
        <v>2015</v>
      </c>
      <c r="D116" s="6">
        <v>2016</v>
      </c>
      <c r="E116" s="6">
        <v>2017</v>
      </c>
      <c r="F116" s="6">
        <v>2018</v>
      </c>
      <c r="G116" s="6">
        <v>2019</v>
      </c>
      <c r="H116" s="6">
        <v>2020</v>
      </c>
      <c r="I116" s="6">
        <v>2021</v>
      </c>
      <c r="J116" s="6">
        <v>2022</v>
      </c>
      <c r="L116" s="84">
        <v>2016</v>
      </c>
      <c r="M116" s="84">
        <v>2017</v>
      </c>
      <c r="N116" s="84">
        <v>2018</v>
      </c>
      <c r="O116" s="84">
        <v>2019</v>
      </c>
      <c r="P116" s="84">
        <v>2020</v>
      </c>
      <c r="Q116" s="84">
        <v>2021</v>
      </c>
      <c r="R116" s="84">
        <v>2022</v>
      </c>
      <c r="S116" s="84" t="s">
        <v>131</v>
      </c>
    </row>
    <row r="117" spans="2:21" x14ac:dyDescent="0.25">
      <c r="B117" s="19" t="s">
        <v>30</v>
      </c>
      <c r="C117" s="20">
        <f>'Balance general'!C65</f>
        <v>11232.007000000001</v>
      </c>
      <c r="D117" s="20">
        <f>'Balance general'!D65</f>
        <v>12987.3608</v>
      </c>
      <c r="E117" s="20">
        <f>'Balance general'!E65</f>
        <v>13179.640799999999</v>
      </c>
      <c r="F117" s="20">
        <f>'Balance general'!F65</f>
        <v>16808.2389</v>
      </c>
      <c r="G117" s="20">
        <f>'Balance general'!G65</f>
        <v>17136.4591</v>
      </c>
      <c r="H117" s="20">
        <f>'Balance general'!H65</f>
        <v>14811.100200000001</v>
      </c>
      <c r="I117" s="20">
        <f>'Balance general'!I65</f>
        <v>19308.405600000002</v>
      </c>
      <c r="J117" s="20">
        <f>'Balance general'!J65</f>
        <v>21039</v>
      </c>
      <c r="K117" s="21"/>
      <c r="L117" s="26">
        <f t="shared" ref="L117:R120" si="91">D117/C117-1</f>
        <v>0.15628140189015194</v>
      </c>
      <c r="M117" s="26">
        <f t="shared" si="91"/>
        <v>1.480516349403338E-2</v>
      </c>
      <c r="N117" s="26">
        <f t="shared" si="91"/>
        <v>0.27531843659957733</v>
      </c>
      <c r="O117" s="26">
        <f t="shared" si="91"/>
        <v>1.952734024978664E-2</v>
      </c>
      <c r="P117" s="26">
        <f t="shared" si="91"/>
        <v>-0.13569658039798893</v>
      </c>
      <c r="Q117" s="26">
        <f t="shared" si="91"/>
        <v>0.30364424919628874</v>
      </c>
      <c r="R117" s="26">
        <f t="shared" si="91"/>
        <v>8.9629068077998086E-2</v>
      </c>
      <c r="S117" s="26">
        <f>AVERAGE(L117:R117)</f>
        <v>0.10335843987283531</v>
      </c>
    </row>
    <row r="118" spans="2:21" x14ac:dyDescent="0.25">
      <c r="B118" s="14" t="s">
        <v>31</v>
      </c>
      <c r="C118" s="15">
        <f>'Balance general'!C68</f>
        <v>17610.048600000002</v>
      </c>
      <c r="D118" s="15">
        <f>'Balance general'!D68</f>
        <v>18287.168400000002</v>
      </c>
      <c r="E118" s="15">
        <f>'Balance general'!E68</f>
        <v>19019.966399999998</v>
      </c>
      <c r="F118" s="15">
        <f>'Balance general'!F68</f>
        <v>23956.735499999999</v>
      </c>
      <c r="G118" s="15">
        <f>'Balance general'!G68</f>
        <v>23659.787900000003</v>
      </c>
      <c r="H118" s="15">
        <f>'Balance general'!H68</f>
        <v>26293.224600000001</v>
      </c>
      <c r="I118" s="15">
        <f>'Balance general'!I68</f>
        <v>34757.933400000002</v>
      </c>
      <c r="J118" s="15">
        <f>'Balance general'!J68</f>
        <v>37695</v>
      </c>
      <c r="K118" s="31"/>
      <c r="L118" s="34">
        <f t="shared" si="91"/>
        <v>3.8450762708286845E-2</v>
      </c>
      <c r="M118" s="34">
        <f t="shared" ref="M118" si="92">E118/D118-1</f>
        <v>4.0071704047959456E-2</v>
      </c>
      <c r="N118" s="34">
        <f t="shared" ref="N118" si="93">F118/E118-1</f>
        <v>0.25955719353952178</v>
      </c>
      <c r="O118" s="34">
        <f t="shared" ref="O118" si="94">G118/F118-1</f>
        <v>-1.2395161268946464E-2</v>
      </c>
      <c r="P118" s="34">
        <f t="shared" ref="P118" si="95">H118/G118-1</f>
        <v>0.11130432407637936</v>
      </c>
      <c r="Q118" s="34">
        <f t="shared" ref="Q118" si="96">I118/H118-1</f>
        <v>0.32193498244410845</v>
      </c>
      <c r="R118" s="34">
        <f t="shared" ref="R118" si="97">J118/I118-1</f>
        <v>8.450061072963555E-2</v>
      </c>
      <c r="S118" s="34">
        <f>AVERAGE(L118:R118)</f>
        <v>0.12048920232527785</v>
      </c>
    </row>
    <row r="119" spans="2:21" x14ac:dyDescent="0.25">
      <c r="B119" s="22" t="s">
        <v>32</v>
      </c>
      <c r="C119" s="23">
        <f>'Balance general'!C69</f>
        <v>42173.601200000005</v>
      </c>
      <c r="D119" s="23">
        <f>'Balance general'!D69</f>
        <v>43423.855200000005</v>
      </c>
      <c r="E119" s="23">
        <f>'Balance general'!E69</f>
        <v>42087.750800000002</v>
      </c>
      <c r="F119" s="23">
        <f>'Balance general'!F69</f>
        <v>70296.597000000009</v>
      </c>
      <c r="G119" s="23">
        <f>'Balance general'!G69</f>
        <v>41934.7765</v>
      </c>
      <c r="H119" s="23">
        <f>'Balance general'!H69</f>
        <v>40545.788399999998</v>
      </c>
      <c r="I119" s="23">
        <f>'Balance general'!I69</f>
        <v>45476.319600000003</v>
      </c>
      <c r="J119" s="23">
        <f>'Balance general'!J69</f>
        <v>42792</v>
      </c>
      <c r="K119" s="24"/>
      <c r="L119" s="26">
        <f t="shared" si="91"/>
        <v>2.9645417143082442E-2</v>
      </c>
      <c r="M119" s="26">
        <f t="shared" ref="M119:M120" si="98">E119/D119-1</f>
        <v>-3.0768903264029035E-2</v>
      </c>
      <c r="N119" s="26">
        <f t="shared" ref="N119:N120" si="99">F119/E119-1</f>
        <v>0.67023886199212157</v>
      </c>
      <c r="O119" s="26">
        <f t="shared" ref="O119:O120" si="100">G119/F119-1</f>
        <v>-0.40345936660347881</v>
      </c>
      <c r="P119" s="26">
        <f t="shared" ref="P119:P120" si="101">H119/G119-1</f>
        <v>-3.3122582637348796E-2</v>
      </c>
      <c r="Q119" s="26">
        <f t="shared" ref="Q119:R120" si="102">I119/H119-1</f>
        <v>0.12160402829902806</v>
      </c>
      <c r="R119" s="26">
        <f t="shared" si="102"/>
        <v>-5.9026755542460396E-2</v>
      </c>
      <c r="S119" s="26">
        <f>AVERAGE(L119:R119)</f>
        <v>4.2158671340987865E-2</v>
      </c>
    </row>
    <row r="120" spans="2:21" x14ac:dyDescent="0.25">
      <c r="B120" s="19" t="s">
        <v>33</v>
      </c>
      <c r="C120" s="20">
        <f>'Balance general'!C71</f>
        <v>8810.269400000001</v>
      </c>
      <c r="D120" s="20">
        <f>'Balance general'!D71</f>
        <v>9324.4080000000013</v>
      </c>
      <c r="E120" s="20">
        <f>'Balance general'!E71</f>
        <v>9359.8112000000001</v>
      </c>
      <c r="F120" s="20">
        <f>'Balance general'!F71</f>
        <v>11333.9061</v>
      </c>
      <c r="G120" s="20">
        <f>'Balance general'!G71</f>
        <v>12100.215200000001</v>
      </c>
      <c r="H120" s="20">
        <f>'Balance general'!H71</f>
        <v>12123.4527</v>
      </c>
      <c r="I120" s="20">
        <f>'Balance general'!I71</f>
        <v>11855.887200000001</v>
      </c>
      <c r="J120" s="20">
        <f>'Balance general'!J71</f>
        <v>11294</v>
      </c>
      <c r="K120" s="21"/>
      <c r="L120" s="26">
        <f t="shared" si="91"/>
        <v>5.8356739919893874E-2</v>
      </c>
      <c r="M120" s="26">
        <f t="shared" si="98"/>
        <v>3.7968308551061813E-3</v>
      </c>
      <c r="N120" s="26">
        <f t="shared" si="99"/>
        <v>0.21091182907621042</v>
      </c>
      <c r="O120" s="26">
        <f t="shared" si="100"/>
        <v>6.7612091827723875E-2</v>
      </c>
      <c r="P120" s="26">
        <f t="shared" si="101"/>
        <v>1.9204203905398565E-3</v>
      </c>
      <c r="Q120" s="26">
        <f t="shared" si="102"/>
        <v>-2.2070074146451568E-2</v>
      </c>
      <c r="R120" s="26">
        <f t="shared" si="102"/>
        <v>-4.739309598019803E-2</v>
      </c>
      <c r="S120" s="26">
        <f>AVERAGE(L120:R120)</f>
        <v>3.9019248848974945E-2</v>
      </c>
    </row>
    <row r="121" spans="2:21" x14ac:dyDescent="0.25">
      <c r="B121" s="14" t="s">
        <v>132</v>
      </c>
      <c r="C121" s="15">
        <f>'Balance general'!C78</f>
        <v>58380.960200000009</v>
      </c>
      <c r="D121" s="15">
        <f>'Balance general'!D78</f>
        <v>59096.703600000008</v>
      </c>
      <c r="E121" s="15">
        <f>'Balance general'!E78</f>
        <v>56075.590000000004</v>
      </c>
      <c r="F121" s="15">
        <f>'Balance general'!F78</f>
        <v>90262.502099999998</v>
      </c>
      <c r="G121" s="15">
        <f>'Balance general'!G78</f>
        <v>87510.303199999995</v>
      </c>
      <c r="H121" s="15">
        <f>'Balance general'!H78</f>
        <v>85474.604699999996</v>
      </c>
      <c r="I121" s="15">
        <f>'Balance general'!I78</f>
        <v>117311.39460000001</v>
      </c>
      <c r="J121" s="15">
        <f>'Balance general'!J78</f>
        <v>105744</v>
      </c>
      <c r="K121" s="31"/>
      <c r="L121" s="34"/>
      <c r="M121" s="34"/>
      <c r="N121" s="34"/>
      <c r="O121" s="34"/>
      <c r="P121" s="34"/>
      <c r="Q121" s="34"/>
      <c r="R121" s="34"/>
      <c r="S121" s="33"/>
    </row>
    <row r="122" spans="2:21" x14ac:dyDescent="0.25">
      <c r="B122" s="7" t="s">
        <v>39</v>
      </c>
      <c r="C122" s="8">
        <f>'Balance general'!C79</f>
        <v>75991.008800000011</v>
      </c>
      <c r="D122" s="8">
        <f>'Balance general'!D79</f>
        <v>77383.872000000003</v>
      </c>
      <c r="E122" s="8">
        <f>'Balance general'!E79</f>
        <v>75095.556400000001</v>
      </c>
      <c r="F122" s="8">
        <f>'Balance general'!F79</f>
        <v>114219.23759999999</v>
      </c>
      <c r="G122" s="8">
        <f>'Balance general'!G79</f>
        <v>111170.09109999999</v>
      </c>
      <c r="H122" s="8">
        <f>'Balance general'!H79</f>
        <v>111767.8293</v>
      </c>
      <c r="I122" s="8">
        <f>'Balance general'!I79</f>
        <v>152069.32800000001</v>
      </c>
      <c r="J122" s="8">
        <f>'Balance general'!J79</f>
        <v>143439</v>
      </c>
      <c r="L122" s="32"/>
      <c r="M122" s="32"/>
      <c r="N122" s="32"/>
      <c r="O122" s="32"/>
      <c r="P122" s="32"/>
      <c r="Q122" s="32"/>
      <c r="R122" s="32"/>
      <c r="S122" s="30"/>
    </row>
    <row r="123" spans="2:21" x14ac:dyDescent="0.25">
      <c r="B123" s="19" t="s">
        <v>41</v>
      </c>
      <c r="C123" s="20">
        <f>'Balance general'!C81</f>
        <v>19384.391000000003</v>
      </c>
      <c r="D123" s="20">
        <f>'Balance general'!D81</f>
        <v>20359.743200000001</v>
      </c>
      <c r="E123" s="20">
        <f>'Balance general'!E81</f>
        <v>19927.824400000001</v>
      </c>
      <c r="F123" s="20">
        <f>'Balance general'!F81</f>
        <v>24548.308199999999</v>
      </c>
      <c r="G123" s="20">
        <f>'Balance general'!G81</f>
        <v>22199.417099999999</v>
      </c>
      <c r="H123" s="20">
        <f>'Balance general'!H81</f>
        <v>22799.900700000002</v>
      </c>
      <c r="I123" s="20">
        <f>'Balance general'!I81</f>
        <v>28339.408800000001</v>
      </c>
      <c r="J123" s="20">
        <f>'Balance general'!J81</f>
        <v>29749</v>
      </c>
      <c r="K123" s="21"/>
      <c r="L123" s="26">
        <f t="shared" ref="L123:R124" si="103">D123/C123-1</f>
        <v>5.0316370527193621E-2</v>
      </c>
      <c r="M123" s="26">
        <f t="shared" si="103"/>
        <v>-2.1214354019946535E-2</v>
      </c>
      <c r="N123" s="26">
        <f t="shared" si="103"/>
        <v>0.231860925069171</v>
      </c>
      <c r="O123" s="26">
        <f t="shared" si="103"/>
        <v>-9.5684439060448212E-2</v>
      </c>
      <c r="P123" s="26">
        <f t="shared" si="103"/>
        <v>2.7049521043505331E-2</v>
      </c>
      <c r="Q123" s="26">
        <f t="shared" si="103"/>
        <v>0.24296193974213232</v>
      </c>
      <c r="R123" s="26">
        <f t="shared" si="103"/>
        <v>4.9739612069818362E-2</v>
      </c>
      <c r="S123" s="26">
        <f>AVERAGE(L123:R123)</f>
        <v>6.9289939338775128E-2</v>
      </c>
    </row>
    <row r="124" spans="2:21" x14ac:dyDescent="0.25">
      <c r="B124" s="14" t="s">
        <v>133</v>
      </c>
      <c r="C124" s="15">
        <f>'Balance general'!C90</f>
        <v>26964.309800000006</v>
      </c>
      <c r="D124" s="15">
        <f>'Balance general'!D90</f>
        <v>26753.207999999999</v>
      </c>
      <c r="E124" s="15">
        <f>'Balance general'!E90</f>
        <v>25426.850000000002</v>
      </c>
      <c r="F124" s="15">
        <f>'Balance general'!F90</f>
        <v>31389.918300000001</v>
      </c>
      <c r="G124" s="15">
        <f>'Balance general'!G90</f>
        <v>31763.064899999998</v>
      </c>
      <c r="H124" s="15">
        <f>'Balance general'!H90</f>
        <v>34288.203600000008</v>
      </c>
      <c r="I124" s="15">
        <f>'Balance general'!I90</f>
        <v>41558.140800000001</v>
      </c>
      <c r="J124" s="15">
        <f>'Balance general'!J90</f>
        <v>43141</v>
      </c>
      <c r="K124" s="31"/>
      <c r="L124" s="34">
        <f t="shared" si="103"/>
        <v>-7.8289339339961961E-3</v>
      </c>
      <c r="M124" s="34">
        <f t="shared" si="103"/>
        <v>-4.9577531038520584E-2</v>
      </c>
      <c r="N124" s="34">
        <f t="shared" si="103"/>
        <v>0.23451856207119626</v>
      </c>
      <c r="O124" s="34">
        <f t="shared" si="103"/>
        <v>1.1887466428990301E-2</v>
      </c>
      <c r="P124" s="34">
        <f t="shared" si="103"/>
        <v>7.9499214195794199E-2</v>
      </c>
      <c r="Q124" s="34">
        <f t="shared" si="103"/>
        <v>0.21202444096546347</v>
      </c>
      <c r="R124" s="34">
        <f t="shared" si="103"/>
        <v>3.8087825141590592E-2</v>
      </c>
      <c r="S124" s="34">
        <f>AVERAGE(L124:R124)</f>
        <v>7.4087291975788297E-2</v>
      </c>
    </row>
    <row r="125" spans="2:21" x14ac:dyDescent="0.25">
      <c r="B125" s="19" t="s">
        <v>47</v>
      </c>
      <c r="C125" s="20">
        <f>'Balance general'!C91</f>
        <v>4335.4498000000003</v>
      </c>
      <c r="D125" s="20">
        <f>'Balance general'!D91</f>
        <v>5703.5748000000003</v>
      </c>
      <c r="E125" s="20">
        <f>'Balance general'!E91</f>
        <v>6110.6351999999997</v>
      </c>
      <c r="F125" s="20">
        <f>'Balance general'!F91</f>
        <v>12688.124400000001</v>
      </c>
      <c r="G125" s="20">
        <f>'Balance general'!G91</f>
        <v>11109.249299999999</v>
      </c>
      <c r="H125" s="20">
        <f>'Balance general'!H91</f>
        <v>7644.0402000000004</v>
      </c>
      <c r="I125" s="20">
        <f>'Balance general'!I91</f>
        <v>18750.976200000001</v>
      </c>
      <c r="J125" s="20">
        <f>'Balance general'!J91</f>
        <v>12682</v>
      </c>
      <c r="K125" s="21"/>
      <c r="L125" s="26">
        <f t="shared" ref="L125:R126" si="104">D125/C125-1</f>
        <v>0.31556702605575082</v>
      </c>
      <c r="M125" s="26">
        <f t="shared" si="104"/>
        <v>7.1369345414738827E-2</v>
      </c>
      <c r="N125" s="26">
        <f t="shared" si="104"/>
        <v>1.0764002406820166</v>
      </c>
      <c r="O125" s="26">
        <f t="shared" si="104"/>
        <v>-0.12443723360719894</v>
      </c>
      <c r="P125" s="26">
        <f t="shared" si="104"/>
        <v>-0.31192108543283836</v>
      </c>
      <c r="Q125" s="26">
        <f t="shared" si="104"/>
        <v>1.4530190461321748</v>
      </c>
      <c r="R125" s="26">
        <f t="shared" si="104"/>
        <v>-0.3236618795345706</v>
      </c>
      <c r="S125" s="26">
        <f>AVERAGE(L125:R125)</f>
        <v>0.30804792281572474</v>
      </c>
    </row>
    <row r="126" spans="2:21" x14ac:dyDescent="0.25">
      <c r="B126" s="19" t="s">
        <v>52</v>
      </c>
      <c r="C126" s="20">
        <f>'Balance general'!C96</f>
        <v>227.78720000000001</v>
      </c>
      <c r="D126" s="20">
        <f>'Balance general'!D96</f>
        <v>198.97880000000001</v>
      </c>
      <c r="E126" s="20">
        <f>'Balance general'!E96</f>
        <v>208.87559999999999</v>
      </c>
      <c r="F126" s="20">
        <f>'Balance general'!F96</f>
        <v>29476.774800000003</v>
      </c>
      <c r="G126" s="20">
        <f>'Balance general'!G96</f>
        <v>27682.168099999999</v>
      </c>
      <c r="H126" s="20">
        <f>'Balance general'!H96</f>
        <v>27594.416700000002</v>
      </c>
      <c r="I126" s="20">
        <f>'Balance general'!I96</f>
        <v>48084.485400000005</v>
      </c>
      <c r="J126" s="20">
        <f>'Balance general'!J96</f>
        <v>41622</v>
      </c>
      <c r="K126" s="21"/>
      <c r="L126" s="26">
        <f t="shared" si="104"/>
        <v>-0.126470670871761</v>
      </c>
      <c r="M126" s="26">
        <f t="shared" si="104"/>
        <v>4.9737962034146266E-2</v>
      </c>
      <c r="N126" s="26">
        <f t="shared" si="104"/>
        <v>140.12119749745784</v>
      </c>
      <c r="O126" s="26">
        <f t="shared" si="104"/>
        <v>-6.0882057558074631E-2</v>
      </c>
      <c r="P126" s="26">
        <f t="shared" si="104"/>
        <v>-3.1699612430283741E-3</v>
      </c>
      <c r="Q126" s="26">
        <f t="shared" si="104"/>
        <v>0.74254400528785247</v>
      </c>
      <c r="R126" s="26">
        <f t="shared" si="104"/>
        <v>-0.13439855592174033</v>
      </c>
      <c r="S126" s="26">
        <f>AVERAGE(L126:R126)</f>
        <v>20.084079745597887</v>
      </c>
    </row>
    <row r="127" spans="2:21" x14ac:dyDescent="0.25">
      <c r="B127" s="14" t="s">
        <v>134</v>
      </c>
      <c r="C127" s="15">
        <f>'Balance general'!C100</f>
        <v>11428.3236</v>
      </c>
      <c r="D127" s="15">
        <f>'Balance general'!D100</f>
        <v>11507.3652</v>
      </c>
      <c r="E127" s="15">
        <f>'Balance general'!E100</f>
        <v>10850.6096</v>
      </c>
      <c r="F127" s="15">
        <f>'Balance general'!F100</f>
        <v>47794.634099999996</v>
      </c>
      <c r="G127" s="15">
        <f>'Balance general'!G100</f>
        <v>44540.037299999996</v>
      </c>
      <c r="H127" s="15">
        <f>'Balance general'!H100</f>
        <v>41298.329700000002</v>
      </c>
      <c r="I127" s="15">
        <f>'Balance general'!I100</f>
        <v>75296.096999999994</v>
      </c>
      <c r="J127" s="15">
        <f>'Balance general'!J100</f>
        <v>60930</v>
      </c>
      <c r="K127" s="31"/>
      <c r="L127" s="34"/>
      <c r="M127" s="34"/>
      <c r="N127" s="34"/>
      <c r="O127" s="34"/>
      <c r="P127" s="34"/>
      <c r="Q127" s="34"/>
      <c r="R127" s="34"/>
      <c r="S127" s="33"/>
    </row>
    <row r="128" spans="2:21" x14ac:dyDescent="0.25">
      <c r="B128" s="7" t="s">
        <v>56</v>
      </c>
      <c r="C128" s="8">
        <f>'Balance general'!C101</f>
        <v>38392.633400000006</v>
      </c>
      <c r="D128" s="8">
        <f>'Balance general'!D101</f>
        <v>38260.573199999999</v>
      </c>
      <c r="E128" s="8">
        <f>'Balance general'!E101</f>
        <v>36277.459600000002</v>
      </c>
      <c r="F128" s="8">
        <f>'Balance general'!F101</f>
        <v>79184.5524</v>
      </c>
      <c r="G128" s="8">
        <f>'Balance general'!G101</f>
        <v>76303.102199999994</v>
      </c>
      <c r="H128" s="8">
        <f>'Balance general'!H101</f>
        <v>75586.53330000001</v>
      </c>
      <c r="I128" s="8">
        <f>'Balance general'!I101</f>
        <v>116854.2378</v>
      </c>
      <c r="J128" s="8">
        <f>'Balance general'!J101</f>
        <v>104071</v>
      </c>
      <c r="L128" s="32"/>
      <c r="M128" s="32"/>
      <c r="N128" s="32"/>
      <c r="O128" s="32"/>
      <c r="P128" s="32"/>
      <c r="Q128" s="32"/>
      <c r="R128" s="32"/>
      <c r="S128" s="30"/>
    </row>
    <row r="129" spans="2:19" x14ac:dyDescent="0.25">
      <c r="B129" s="7" t="s">
        <v>57</v>
      </c>
      <c r="C129" s="8">
        <f>'Balance general'!C102</f>
        <v>37599.874000000003</v>
      </c>
      <c r="D129" s="8">
        <f>'Balance general'!D102</f>
        <v>39124.751199999999</v>
      </c>
      <c r="E129" s="8">
        <f>'Balance general'!E102</f>
        <v>38815.366400000006</v>
      </c>
      <c r="F129" s="8">
        <f>'Balance general'!F102</f>
        <v>35032.073400000001</v>
      </c>
      <c r="G129" s="8">
        <f>'Balance general'!G102</f>
        <v>34868.261000000006</v>
      </c>
      <c r="H129" s="8">
        <f>'Balance general'!H102</f>
        <v>36183.767400000004</v>
      </c>
      <c r="I129" s="8">
        <f>'Balance general'!I102</f>
        <v>35214.012000000002</v>
      </c>
      <c r="J129" s="8">
        <f>'Balance general'!J102</f>
        <v>39368</v>
      </c>
      <c r="L129" s="30"/>
      <c r="M129" s="30"/>
      <c r="N129" s="30"/>
      <c r="O129" s="30"/>
      <c r="P129" s="30"/>
      <c r="Q129" s="30"/>
      <c r="R129" s="30"/>
      <c r="S129" s="30"/>
    </row>
    <row r="130" spans="2:19" x14ac:dyDescent="0.25">
      <c r="B130" s="19" t="s">
        <v>59</v>
      </c>
      <c r="C130" s="20">
        <f>'Balance general'!C104</f>
        <v>30444.059000000005</v>
      </c>
      <c r="D130" s="20">
        <f>'Balance general'!D104</f>
        <v>31865.656000000003</v>
      </c>
      <c r="E130" s="20">
        <f>'Balance general'!E104</f>
        <v>32311.553599999999</v>
      </c>
      <c r="F130" s="20">
        <f>'Balance general'!F104</f>
        <v>29211.677100000001</v>
      </c>
      <c r="G130" s="20">
        <f>'Balance general'!G104</f>
        <v>29737.881700000002</v>
      </c>
      <c r="H130" s="20">
        <f>'Balance general'!H104</f>
        <v>31605.498900000002</v>
      </c>
      <c r="I130" s="20">
        <f>'Balance general'!I104</f>
        <v>30726.543600000001</v>
      </c>
      <c r="J130" s="20">
        <f>'Balance general'!J104</f>
        <v>34032</v>
      </c>
      <c r="K130" s="21"/>
      <c r="L130" s="26">
        <f t="shared" ref="L130:R131" si="105">D130/C130-1</f>
        <v>4.6695383161621029E-2</v>
      </c>
      <c r="M130" s="26">
        <f t="shared" si="105"/>
        <v>1.3993046306656876E-2</v>
      </c>
      <c r="N130" s="26">
        <f t="shared" si="105"/>
        <v>-9.5937092297536553E-2</v>
      </c>
      <c r="O130" s="26">
        <f t="shared" si="105"/>
        <v>1.8013501867717219E-2</v>
      </c>
      <c r="P130" s="26">
        <f t="shared" si="105"/>
        <v>6.2802630625839129E-2</v>
      </c>
      <c r="Q130" s="26">
        <f t="shared" si="105"/>
        <v>-2.7810201724105754E-2</v>
      </c>
      <c r="R130" s="26">
        <f t="shared" si="105"/>
        <v>0.10757657753604288</v>
      </c>
      <c r="S130" s="26">
        <f>AVERAGE(L130:R130)</f>
        <v>1.7904835068033548E-2</v>
      </c>
    </row>
    <row r="131" spans="2:19" x14ac:dyDescent="0.25">
      <c r="B131" s="19" t="s">
        <v>67</v>
      </c>
      <c r="C131" s="20">
        <f>'Balance general'!C108</f>
        <v>5923.9658000000009</v>
      </c>
      <c r="D131" s="20">
        <f>'Balance general'!D108</f>
        <v>5447.9524000000001</v>
      </c>
      <c r="E131" s="20">
        <f>'Balance general'!E108</f>
        <v>4931.1023999999998</v>
      </c>
      <c r="F131" s="20">
        <f>'Balance general'!F108</f>
        <v>4629.4155000000001</v>
      </c>
      <c r="G131" s="20">
        <f>'Balance general'!G108</f>
        <v>4451.0779000000002</v>
      </c>
      <c r="H131" s="20">
        <f>'Balance general'!H108</f>
        <v>4292.8217999999997</v>
      </c>
      <c r="I131" s="20">
        <f>'Balance general'!I108</f>
        <v>3802.8114</v>
      </c>
      <c r="J131" s="20">
        <f>'Balance general'!J108</f>
        <v>3799</v>
      </c>
      <c r="K131" s="21"/>
      <c r="L131" s="26">
        <f t="shared" si="105"/>
        <v>-8.0353839990095932E-2</v>
      </c>
      <c r="M131" s="26">
        <f t="shared" si="105"/>
        <v>-9.4870505843626773E-2</v>
      </c>
      <c r="N131" s="26">
        <f t="shared" si="105"/>
        <v>-6.1180416776581148E-2</v>
      </c>
      <c r="O131" s="26">
        <f t="shared" si="105"/>
        <v>-3.8522703352075416E-2</v>
      </c>
      <c r="P131" s="26">
        <f t="shared" si="105"/>
        <v>-3.5554556346902078E-2</v>
      </c>
      <c r="Q131" s="26">
        <f t="shared" si="105"/>
        <v>-0.11414645723239658</v>
      </c>
      <c r="R131" s="26">
        <f t="shared" si="105"/>
        <v>-1.0022584869709972E-3</v>
      </c>
      <c r="S131" s="26">
        <f>AVERAGE(L131:R131)</f>
        <v>-6.0804391146949847E-2</v>
      </c>
    </row>
    <row r="132" spans="2:19" x14ac:dyDescent="0.25">
      <c r="B132" s="10" t="s">
        <v>65</v>
      </c>
      <c r="C132" s="11">
        <f>'Balance general'!C111</f>
        <v>75992.507400000002</v>
      </c>
      <c r="D132" s="11">
        <f>'Balance general'!D111</f>
        <v>77385.324399999998</v>
      </c>
      <c r="E132" s="11">
        <f>'Balance general'!E111</f>
        <v>75092.826000000001</v>
      </c>
      <c r="F132" s="11">
        <f>'Balance general'!F111</f>
        <v>114216.62580000001</v>
      </c>
      <c r="G132" s="11">
        <f>'Balance general'!G111</f>
        <v>111171.36319999999</v>
      </c>
      <c r="H132" s="11">
        <f>'Balance general'!H111</f>
        <v>111770.30070000002</v>
      </c>
      <c r="I132" s="11">
        <f>'Balance general'!I111</f>
        <v>152068.24979999999</v>
      </c>
      <c r="J132" s="11">
        <f>'Balance general'!J111</f>
        <v>143439</v>
      </c>
      <c r="L132" s="32"/>
      <c r="M132" s="32"/>
      <c r="N132" s="32"/>
      <c r="O132" s="32"/>
      <c r="P132" s="32"/>
      <c r="Q132" s="32"/>
      <c r="R132" s="30"/>
      <c r="S132" s="30"/>
    </row>
    <row r="145" spans="4:4" x14ac:dyDescent="0.25">
      <c r="D145" s="31" t="s">
        <v>165</v>
      </c>
    </row>
    <row r="146" spans="4:4" x14ac:dyDescent="0.25">
      <c r="D146" s="30" t="s">
        <v>166</v>
      </c>
    </row>
  </sheetData>
  <mergeCells count="5">
    <mergeCell ref="L58:T58"/>
    <mergeCell ref="C3:J3"/>
    <mergeCell ref="C58:J58"/>
    <mergeCell ref="L115:S115"/>
    <mergeCell ref="C115:J1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C07F-0689-40C2-9CF0-A5592F76889F}">
  <dimension ref="A1:AB96"/>
  <sheetViews>
    <sheetView zoomScale="85" zoomScaleNormal="85" workbookViewId="0"/>
  </sheetViews>
  <sheetFormatPr defaultRowHeight="13.8" x14ac:dyDescent="0.25"/>
  <cols>
    <col min="1" max="1" width="8.88671875" style="30"/>
    <col min="2" max="2" width="56.5546875" style="30" bestFit="1" customWidth="1"/>
    <col min="3" max="9" width="12.77734375" style="30" bestFit="1" customWidth="1"/>
    <col min="10" max="10" width="12.77734375" style="30" customWidth="1"/>
    <col min="11" max="11" width="3.77734375" style="30" customWidth="1"/>
    <col min="12" max="15" width="9.33203125" style="31" bestFit="1" customWidth="1"/>
    <col min="16" max="17" width="10.44140625" style="31" bestFit="1" customWidth="1"/>
    <col min="18" max="18" width="9.33203125" style="31" bestFit="1" customWidth="1"/>
    <col min="19" max="19" width="9.33203125" style="31" customWidth="1"/>
    <col min="20" max="20" width="11" style="31" bestFit="1" customWidth="1"/>
    <col min="21" max="21" width="8.88671875" style="31"/>
    <col min="22" max="16384" width="8.88671875" style="30"/>
  </cols>
  <sheetData>
    <row r="1" spans="2:20" x14ac:dyDescent="0.25">
      <c r="B1" s="69" t="s">
        <v>149</v>
      </c>
      <c r="C1" s="36">
        <f>I1+42.04%</f>
        <v>1.4986000000000002</v>
      </c>
      <c r="D1" s="36">
        <f>I1+37.42%</f>
        <v>1.4524000000000001</v>
      </c>
      <c r="E1" s="36">
        <f>I1+28.7%</f>
        <v>1.3652</v>
      </c>
      <c r="F1" s="36">
        <f>I1+22.77%</f>
        <v>1.3059000000000001</v>
      </c>
      <c r="G1" s="36">
        <f>I1+19.39%</f>
        <v>1.2721</v>
      </c>
      <c r="H1" s="36">
        <f>I1+15.75%</f>
        <v>1.2357</v>
      </c>
      <c r="I1" s="36">
        <f>J1+7.82%</f>
        <v>1.0782</v>
      </c>
      <c r="J1" s="37">
        <v>1</v>
      </c>
    </row>
    <row r="2" spans="2:20" hidden="1" x14ac:dyDescent="0.25">
      <c r="B2" s="38"/>
      <c r="C2" s="39"/>
      <c r="D2" s="39"/>
      <c r="E2" s="39"/>
      <c r="F2" s="39"/>
      <c r="G2" s="39"/>
      <c r="H2" s="39"/>
      <c r="I2" s="39"/>
      <c r="J2" s="39"/>
    </row>
    <row r="3" spans="2:20" hidden="1" x14ac:dyDescent="0.25">
      <c r="B3" s="35" t="s">
        <v>24</v>
      </c>
      <c r="C3" s="209" t="s">
        <v>2</v>
      </c>
      <c r="D3" s="209"/>
      <c r="E3" s="209"/>
      <c r="F3" s="209"/>
      <c r="G3" s="209"/>
      <c r="H3" s="209"/>
      <c r="I3" s="209"/>
      <c r="J3" s="209"/>
    </row>
    <row r="4" spans="2:20" hidden="1" x14ac:dyDescent="0.25">
      <c r="B4" s="40" t="s">
        <v>1</v>
      </c>
      <c r="C4" s="41">
        <v>2015</v>
      </c>
      <c r="D4" s="41">
        <v>2016</v>
      </c>
      <c r="E4" s="41">
        <v>2017</v>
      </c>
      <c r="F4" s="41">
        <v>2018</v>
      </c>
      <c r="G4" s="41">
        <v>2019</v>
      </c>
      <c r="H4" s="41">
        <v>2020</v>
      </c>
      <c r="I4" s="41">
        <v>2021</v>
      </c>
      <c r="J4" s="41">
        <v>2022</v>
      </c>
    </row>
    <row r="5" spans="2:20" hidden="1" x14ac:dyDescent="0.25">
      <c r="B5" s="30" t="s">
        <v>0</v>
      </c>
      <c r="C5" s="29">
        <v>78648</v>
      </c>
      <c r="D5" s="29">
        <v>88529</v>
      </c>
      <c r="E5" s="29">
        <v>94583</v>
      </c>
      <c r="F5" s="29">
        <v>116031</v>
      </c>
      <c r="G5" s="29">
        <v>129443</v>
      </c>
      <c r="H5" s="29">
        <v>146287</v>
      </c>
      <c r="I5" s="29">
        <v>188487</v>
      </c>
      <c r="J5" s="29">
        <v>259326</v>
      </c>
      <c r="L5" s="34"/>
      <c r="M5" s="34"/>
      <c r="N5" s="34"/>
      <c r="O5" s="34"/>
      <c r="P5" s="34"/>
      <c r="Q5" s="34"/>
      <c r="R5" s="34"/>
      <c r="S5" s="34"/>
      <c r="T5" s="34"/>
    </row>
    <row r="6" spans="2:20" hidden="1" x14ac:dyDescent="0.25">
      <c r="B6" s="42" t="s">
        <v>3</v>
      </c>
      <c r="C6" s="29">
        <v>63068</v>
      </c>
      <c r="D6" s="29">
        <v>70313</v>
      </c>
      <c r="E6" s="29">
        <v>74916</v>
      </c>
      <c r="F6" s="29">
        <v>91311</v>
      </c>
      <c r="G6" s="29">
        <v>101491</v>
      </c>
      <c r="H6" s="29">
        <v>113908</v>
      </c>
      <c r="I6" s="29">
        <v>146535</v>
      </c>
      <c r="J6" s="29">
        <v>200026</v>
      </c>
      <c r="L6" s="45"/>
      <c r="M6" s="45"/>
      <c r="N6" s="45"/>
      <c r="O6" s="45"/>
      <c r="P6" s="45"/>
      <c r="Q6" s="45"/>
      <c r="R6" s="45"/>
      <c r="S6" s="45"/>
    </row>
    <row r="7" spans="2:20" hidden="1" x14ac:dyDescent="0.25">
      <c r="B7" s="42" t="s">
        <v>4</v>
      </c>
      <c r="C7" s="29">
        <v>15580</v>
      </c>
      <c r="D7" s="29">
        <v>18216</v>
      </c>
      <c r="E7" s="29">
        <v>19666</v>
      </c>
      <c r="F7" s="29">
        <v>24720</v>
      </c>
      <c r="G7" s="29">
        <v>27952</v>
      </c>
      <c r="H7" s="29">
        <v>32380</v>
      </c>
      <c r="I7" s="29">
        <v>41952</v>
      </c>
      <c r="J7" s="29">
        <v>59300</v>
      </c>
      <c r="L7" s="45"/>
      <c r="M7" s="45"/>
      <c r="N7" s="45"/>
      <c r="O7" s="45"/>
      <c r="P7" s="45"/>
      <c r="Q7" s="45"/>
      <c r="R7" s="45"/>
      <c r="S7" s="45"/>
      <c r="T7" s="46"/>
    </row>
    <row r="8" spans="2:20" hidden="1" x14ac:dyDescent="0.25">
      <c r="B8" s="42" t="s">
        <v>5</v>
      </c>
      <c r="C8" s="29">
        <v>11901</v>
      </c>
      <c r="D8" s="29">
        <v>13961</v>
      </c>
      <c r="E8" s="29">
        <v>15248</v>
      </c>
      <c r="F8" s="29">
        <v>19558</v>
      </c>
      <c r="G8" s="29">
        <v>22376</v>
      </c>
      <c r="H8" s="29">
        <v>25446</v>
      </c>
      <c r="I8" s="29">
        <v>33204</v>
      </c>
      <c r="J8" s="29">
        <v>45554</v>
      </c>
      <c r="L8" s="45"/>
      <c r="M8" s="45"/>
      <c r="N8" s="45"/>
      <c r="O8" s="45"/>
      <c r="P8" s="45"/>
      <c r="Q8" s="45"/>
      <c r="R8" s="45"/>
      <c r="S8" s="45"/>
    </row>
    <row r="9" spans="2:20" hidden="1" x14ac:dyDescent="0.25">
      <c r="B9" s="42" t="s">
        <v>6</v>
      </c>
      <c r="C9" s="29">
        <v>3678</v>
      </c>
      <c r="D9" s="29">
        <v>4254</v>
      </c>
      <c r="E9" s="29">
        <v>4418</v>
      </c>
      <c r="F9" s="29">
        <v>5161</v>
      </c>
      <c r="G9" s="29">
        <v>5576</v>
      </c>
      <c r="H9" s="29">
        <v>6933</v>
      </c>
      <c r="I9" s="29">
        <v>8748</v>
      </c>
      <c r="J9" s="29">
        <v>13746</v>
      </c>
      <c r="L9" s="45"/>
      <c r="M9" s="45"/>
      <c r="N9" s="45"/>
      <c r="O9" s="45"/>
      <c r="P9" s="45"/>
      <c r="Q9" s="45"/>
      <c r="R9" s="45"/>
      <c r="S9" s="45"/>
    </row>
    <row r="10" spans="2:20" hidden="1" x14ac:dyDescent="0.25">
      <c r="B10" s="42" t="s">
        <v>9</v>
      </c>
      <c r="C10" s="29">
        <v>543</v>
      </c>
      <c r="D10" s="29">
        <v>647</v>
      </c>
      <c r="E10" s="29">
        <v>672</v>
      </c>
      <c r="F10" s="29">
        <v>2018</v>
      </c>
      <c r="G10" s="29">
        <v>2344</v>
      </c>
      <c r="H10" s="29">
        <v>2306</v>
      </c>
      <c r="I10" s="29">
        <v>2658</v>
      </c>
      <c r="J10" s="29">
        <v>3382</v>
      </c>
      <c r="L10" s="45"/>
      <c r="M10" s="45"/>
      <c r="N10" s="45"/>
      <c r="O10" s="45"/>
      <c r="P10" s="45"/>
      <c r="Q10" s="45"/>
      <c r="R10" s="45"/>
      <c r="S10" s="45"/>
    </row>
    <row r="11" spans="2:20" hidden="1" x14ac:dyDescent="0.25">
      <c r="B11" s="42" t="s">
        <v>7</v>
      </c>
      <c r="C11" s="29">
        <v>-35</v>
      </c>
      <c r="D11" s="29">
        <v>-68</v>
      </c>
      <c r="E11" s="29">
        <v>-72</v>
      </c>
      <c r="F11" s="29">
        <v>-88</v>
      </c>
      <c r="G11" s="29">
        <v>-63</v>
      </c>
      <c r="H11" s="29">
        <v>-136</v>
      </c>
      <c r="I11" s="29">
        <v>-135</v>
      </c>
      <c r="J11" s="29">
        <v>-269</v>
      </c>
      <c r="L11" s="45"/>
      <c r="M11" s="45"/>
      <c r="N11" s="45"/>
      <c r="O11" s="45"/>
      <c r="P11" s="45"/>
      <c r="Q11" s="45"/>
      <c r="R11" s="45"/>
      <c r="S11" s="45"/>
    </row>
    <row r="12" spans="2:20" hidden="1" x14ac:dyDescent="0.25">
      <c r="B12" s="42" t="s">
        <v>8</v>
      </c>
      <c r="C12" s="29">
        <v>5</v>
      </c>
      <c r="D12" s="29">
        <v>9</v>
      </c>
      <c r="E12" s="29">
        <v>-36</v>
      </c>
      <c r="F12" s="29">
        <v>8</v>
      </c>
      <c r="G12" s="29">
        <v>-56</v>
      </c>
      <c r="H12" s="29">
        <v>10</v>
      </c>
      <c r="I12" s="29">
        <v>-25</v>
      </c>
      <c r="J12" s="29">
        <v>-50</v>
      </c>
      <c r="L12" s="45"/>
      <c r="M12" s="45"/>
      <c r="N12" s="45"/>
      <c r="O12" s="45"/>
      <c r="P12" s="45"/>
      <c r="Q12" s="45"/>
      <c r="R12" s="45"/>
      <c r="S12" s="45"/>
    </row>
    <row r="13" spans="2:20" hidden="1" x14ac:dyDescent="0.25">
      <c r="B13" s="42" t="s">
        <v>22</v>
      </c>
      <c r="C13" s="29">
        <v>526</v>
      </c>
      <c r="D13" s="29">
        <v>593</v>
      </c>
      <c r="E13" s="29">
        <v>617</v>
      </c>
      <c r="F13" s="29">
        <v>789</v>
      </c>
      <c r="G13" s="29">
        <v>885</v>
      </c>
      <c r="H13" s="29">
        <v>1006</v>
      </c>
      <c r="I13" s="29">
        <v>1356</v>
      </c>
      <c r="J13" s="29">
        <v>2049</v>
      </c>
      <c r="L13" s="45"/>
      <c r="M13" s="45"/>
      <c r="N13" s="45"/>
      <c r="O13" s="45"/>
      <c r="P13" s="45"/>
      <c r="Q13" s="45"/>
      <c r="R13" s="45"/>
      <c r="S13" s="45"/>
    </row>
    <row r="14" spans="2:20" hidden="1" x14ac:dyDescent="0.25">
      <c r="C14" s="29">
        <f t="shared" ref="C14:H14" si="0">C10+C11+C12+C13</f>
        <v>1039</v>
      </c>
      <c r="D14" s="29">
        <f t="shared" si="0"/>
        <v>1181</v>
      </c>
      <c r="E14" s="29">
        <f t="shared" si="0"/>
        <v>1181</v>
      </c>
      <c r="F14" s="29">
        <f t="shared" si="0"/>
        <v>2727</v>
      </c>
      <c r="G14" s="29">
        <f t="shared" si="0"/>
        <v>3110</v>
      </c>
      <c r="H14" s="29">
        <f t="shared" si="0"/>
        <v>3186</v>
      </c>
      <c r="I14" s="29">
        <f t="shared" ref="I14" si="1">I10+I11+I12+I13</f>
        <v>3854</v>
      </c>
      <c r="J14" s="29">
        <v>5112</v>
      </c>
      <c r="K14" s="29"/>
      <c r="L14" s="34"/>
      <c r="M14" s="34"/>
      <c r="N14" s="34"/>
      <c r="O14" s="34"/>
      <c r="P14" s="34"/>
      <c r="Q14" s="34"/>
      <c r="R14" s="34"/>
      <c r="S14" s="34"/>
    </row>
    <row r="15" spans="2:20" hidden="1" x14ac:dyDescent="0.25">
      <c r="B15" s="43" t="s">
        <v>10</v>
      </c>
      <c r="C15" s="29"/>
      <c r="D15" s="29"/>
      <c r="E15" s="29"/>
      <c r="F15" s="29"/>
      <c r="G15" s="29"/>
      <c r="H15" s="29"/>
      <c r="I15" s="29">
        <v>54</v>
      </c>
      <c r="J15" s="29">
        <v>89</v>
      </c>
    </row>
    <row r="16" spans="2:20" hidden="1" x14ac:dyDescent="0.25">
      <c r="B16" s="42" t="s">
        <v>11</v>
      </c>
      <c r="C16" s="29">
        <v>2639</v>
      </c>
      <c r="D16" s="29">
        <v>3073</v>
      </c>
      <c r="E16" s="29">
        <v>3238</v>
      </c>
      <c r="F16" s="29">
        <v>2435</v>
      </c>
      <c r="G16" s="29">
        <v>2465</v>
      </c>
      <c r="H16" s="29">
        <v>3748</v>
      </c>
      <c r="I16" s="29">
        <v>4950</v>
      </c>
      <c r="J16" s="29">
        <v>8722</v>
      </c>
    </row>
    <row r="17" spans="2:20" hidden="1" x14ac:dyDescent="0.25">
      <c r="B17" s="42" t="s">
        <v>12</v>
      </c>
      <c r="C17" s="29">
        <v>850</v>
      </c>
      <c r="D17" s="29">
        <v>1063</v>
      </c>
      <c r="E17" s="29">
        <v>1120</v>
      </c>
      <c r="F17" s="29">
        <v>848</v>
      </c>
      <c r="G17" s="29">
        <v>928</v>
      </c>
      <c r="H17" s="29">
        <v>1073</v>
      </c>
      <c r="I17" s="29">
        <v>1469</v>
      </c>
      <c r="J17" s="29">
        <v>2546</v>
      </c>
    </row>
    <row r="18" spans="2:20" hidden="1" x14ac:dyDescent="0.25">
      <c r="B18" s="42" t="s">
        <v>13</v>
      </c>
      <c r="C18" s="29">
        <v>1790</v>
      </c>
      <c r="D18" s="29">
        <v>2010</v>
      </c>
      <c r="E18" s="29">
        <v>2117</v>
      </c>
      <c r="F18" s="29">
        <v>1586</v>
      </c>
      <c r="G18" s="29">
        <v>1537</v>
      </c>
      <c r="H18" s="29">
        <v>2674</v>
      </c>
      <c r="I18" s="29">
        <v>3480</v>
      </c>
      <c r="J18" s="29">
        <v>6176</v>
      </c>
    </row>
    <row r="19" spans="2:20" hidden="1" x14ac:dyDescent="0.25">
      <c r="B19" s="43" t="s">
        <v>14</v>
      </c>
      <c r="C19" s="29">
        <v>1740</v>
      </c>
      <c r="D19" s="29">
        <v>1953</v>
      </c>
      <c r="E19" s="29">
        <v>2079</v>
      </c>
      <c r="F19" s="29">
        <v>1638</v>
      </c>
      <c r="G19" s="29">
        <v>1566</v>
      </c>
      <c r="H19" s="29">
        <v>2589</v>
      </c>
      <c r="I19" s="29">
        <v>3420</v>
      </c>
      <c r="J19" s="29">
        <v>5997</v>
      </c>
    </row>
    <row r="20" spans="2:20" hidden="1" x14ac:dyDescent="0.25">
      <c r="B20" s="43" t="s">
        <v>15</v>
      </c>
      <c r="C20" s="29">
        <v>50</v>
      </c>
      <c r="D20" s="29">
        <v>57</v>
      </c>
      <c r="E20" s="29">
        <v>38</v>
      </c>
      <c r="F20" s="29">
        <v>-51</v>
      </c>
      <c r="G20" s="29">
        <v>-29</v>
      </c>
      <c r="H20" s="29">
        <v>85</v>
      </c>
      <c r="I20" s="29">
        <v>60</v>
      </c>
      <c r="J20" s="29">
        <v>179</v>
      </c>
    </row>
    <row r="21" spans="2:20" hidden="1" x14ac:dyDescent="0.25">
      <c r="B21" s="42" t="s">
        <v>13</v>
      </c>
      <c r="C21" s="29">
        <f t="shared" ref="C21:I21" si="2">C18</f>
        <v>1790</v>
      </c>
      <c r="D21" s="29">
        <f t="shared" si="2"/>
        <v>2010</v>
      </c>
      <c r="E21" s="29">
        <f t="shared" si="2"/>
        <v>2117</v>
      </c>
      <c r="F21" s="29">
        <f t="shared" si="2"/>
        <v>1586</v>
      </c>
      <c r="G21" s="29">
        <f t="shared" si="2"/>
        <v>1537</v>
      </c>
      <c r="H21" s="29">
        <f t="shared" si="2"/>
        <v>2674</v>
      </c>
      <c r="I21" s="29">
        <f t="shared" si="2"/>
        <v>3480</v>
      </c>
      <c r="J21" s="29">
        <v>6176</v>
      </c>
      <c r="K21" s="29"/>
    </row>
    <row r="22" spans="2:20" hidden="1" x14ac:dyDescent="0.25">
      <c r="B22" s="42" t="s">
        <v>16</v>
      </c>
      <c r="C22" s="29">
        <v>963917211</v>
      </c>
      <c r="D22" s="29">
        <v>963917211</v>
      </c>
      <c r="E22" s="29">
        <v>963917211</v>
      </c>
      <c r="F22" s="29">
        <v>963917211</v>
      </c>
      <c r="G22" s="29">
        <v>963917211</v>
      </c>
      <c r="H22" s="29">
        <v>963917211</v>
      </c>
      <c r="I22" s="29">
        <v>963917211</v>
      </c>
      <c r="J22" s="29">
        <v>963917211</v>
      </c>
    </row>
    <row r="23" spans="2:20" hidden="1" x14ac:dyDescent="0.25">
      <c r="B23" s="42" t="s">
        <v>17</v>
      </c>
      <c r="C23" s="47">
        <v>1.8</v>
      </c>
      <c r="D23" s="47">
        <v>2</v>
      </c>
      <c r="E23" s="47">
        <v>2.2000000000000002</v>
      </c>
      <c r="F23" s="47">
        <v>1.7</v>
      </c>
      <c r="G23" s="47">
        <v>1.6</v>
      </c>
      <c r="H23" s="47">
        <v>2.7</v>
      </c>
      <c r="I23" s="47">
        <v>3.5</v>
      </c>
      <c r="J23" s="47">
        <v>6.2</v>
      </c>
    </row>
    <row r="24" spans="2:20" hidden="1" x14ac:dyDescent="0.25">
      <c r="B24" s="48" t="s">
        <v>18</v>
      </c>
      <c r="C24" s="29"/>
      <c r="D24" s="29"/>
      <c r="E24" s="29"/>
      <c r="F24" s="29"/>
      <c r="G24" s="29"/>
      <c r="H24" s="29"/>
      <c r="I24" s="29"/>
      <c r="J24" s="29"/>
    </row>
    <row r="25" spans="2:20" hidden="1" x14ac:dyDescent="0.25">
      <c r="B25" s="42" t="s">
        <v>19</v>
      </c>
      <c r="C25" s="29">
        <v>4420</v>
      </c>
      <c r="D25" s="29">
        <v>3439</v>
      </c>
      <c r="E25" s="29">
        <v>5104</v>
      </c>
      <c r="F25" s="29">
        <v>6783</v>
      </c>
      <c r="G25" s="29">
        <v>5554</v>
      </c>
      <c r="H25" s="29">
        <v>12318</v>
      </c>
      <c r="I25" s="29">
        <v>16103</v>
      </c>
      <c r="J25" s="29">
        <v>18540</v>
      </c>
    </row>
    <row r="26" spans="2:20" hidden="1" x14ac:dyDescent="0.25">
      <c r="B26" s="42" t="s">
        <v>20</v>
      </c>
      <c r="C26" s="29">
        <v>-2735</v>
      </c>
      <c r="D26" s="29">
        <v>-3358</v>
      </c>
      <c r="E26" s="29">
        <v>-3093</v>
      </c>
      <c r="F26" s="29">
        <v>-8840</v>
      </c>
      <c r="G26" s="29">
        <v>-2845</v>
      </c>
      <c r="H26" s="29">
        <v>-2536</v>
      </c>
      <c r="I26" s="29">
        <v>-15622</v>
      </c>
      <c r="J26" s="29">
        <v>-6481</v>
      </c>
    </row>
    <row r="27" spans="2:20" hidden="1" x14ac:dyDescent="0.25">
      <c r="B27" s="42" t="s">
        <v>21</v>
      </c>
      <c r="C27" s="29">
        <v>-415</v>
      </c>
      <c r="D27" s="29">
        <v>-1143</v>
      </c>
      <c r="E27" s="29">
        <v>-1442</v>
      </c>
      <c r="F27" s="29">
        <v>1960</v>
      </c>
      <c r="G27" s="29">
        <v>-3079</v>
      </c>
      <c r="H27" s="29">
        <v>-5274</v>
      </c>
      <c r="I27" s="29">
        <v>3528</v>
      </c>
      <c r="J27" s="29">
        <v>-9516</v>
      </c>
    </row>
    <row r="28" spans="2:20" x14ac:dyDescent="0.25">
      <c r="C28" s="29"/>
    </row>
    <row r="30" spans="2:20" ht="18.600000000000001" x14ac:dyDescent="0.35">
      <c r="B30" s="4" t="s">
        <v>24</v>
      </c>
      <c r="C30" s="210" t="s">
        <v>2</v>
      </c>
      <c r="D30" s="210"/>
      <c r="E30" s="210"/>
      <c r="F30" s="210"/>
      <c r="G30" s="210"/>
      <c r="H30" s="210"/>
      <c r="I30" s="210"/>
      <c r="J30" s="210"/>
      <c r="L30" s="208" t="s">
        <v>112</v>
      </c>
      <c r="M30" s="208"/>
      <c r="N30" s="208"/>
      <c r="O30" s="208"/>
      <c r="P30" s="208"/>
      <c r="Q30" s="208"/>
      <c r="R30" s="208"/>
      <c r="S30" s="208"/>
      <c r="T30" s="208"/>
    </row>
    <row r="31" spans="2:20" x14ac:dyDescent="0.25">
      <c r="B31" s="5" t="s">
        <v>1</v>
      </c>
      <c r="C31" s="6">
        <v>2015</v>
      </c>
      <c r="D31" s="6">
        <v>2016</v>
      </c>
      <c r="E31" s="6">
        <v>2017</v>
      </c>
      <c r="F31" s="6">
        <v>2018</v>
      </c>
      <c r="G31" s="6">
        <v>2019</v>
      </c>
      <c r="H31" s="6">
        <v>2020</v>
      </c>
      <c r="I31" s="6">
        <v>2021</v>
      </c>
      <c r="J31" s="6">
        <v>2022</v>
      </c>
      <c r="L31" s="84">
        <f t="shared" ref="L31:S31" si="3">C31</f>
        <v>2015</v>
      </c>
      <c r="M31" s="84">
        <f t="shared" si="3"/>
        <v>2016</v>
      </c>
      <c r="N31" s="84">
        <f t="shared" si="3"/>
        <v>2017</v>
      </c>
      <c r="O31" s="84">
        <f t="shared" si="3"/>
        <v>2018</v>
      </c>
      <c r="P31" s="84">
        <f t="shared" si="3"/>
        <v>2019</v>
      </c>
      <c r="Q31" s="84">
        <f t="shared" si="3"/>
        <v>2020</v>
      </c>
      <c r="R31" s="84">
        <f t="shared" si="3"/>
        <v>2021</v>
      </c>
      <c r="S31" s="84">
        <f t="shared" si="3"/>
        <v>2022</v>
      </c>
      <c r="T31" s="84" t="s">
        <v>131</v>
      </c>
    </row>
    <row r="32" spans="2:20" x14ac:dyDescent="0.25">
      <c r="B32" s="13" t="s">
        <v>0</v>
      </c>
      <c r="C32" s="8">
        <f>IFERROR(C$1*C5,0)</f>
        <v>117861.89280000002</v>
      </c>
      <c r="D32" s="8">
        <f t="shared" ref="D32:J32" si="4">IFERROR(D$1*D5,0)</f>
        <v>128579.51960000001</v>
      </c>
      <c r="E32" s="8">
        <f t="shared" si="4"/>
        <v>129124.7116</v>
      </c>
      <c r="F32" s="8">
        <f t="shared" si="4"/>
        <v>151524.8829</v>
      </c>
      <c r="G32" s="8">
        <f t="shared" si="4"/>
        <v>164664.44029999999</v>
      </c>
      <c r="H32" s="8">
        <f t="shared" si="4"/>
        <v>180766.84590000001</v>
      </c>
      <c r="I32" s="8">
        <f t="shared" si="4"/>
        <v>203226.68340000001</v>
      </c>
      <c r="J32" s="8">
        <f t="shared" si="4"/>
        <v>259326</v>
      </c>
      <c r="L32" s="32">
        <f t="shared" ref="L32:S32" si="5">C32/C$32</f>
        <v>1</v>
      </c>
      <c r="M32" s="32">
        <f t="shared" si="5"/>
        <v>1</v>
      </c>
      <c r="N32" s="32">
        <f t="shared" si="5"/>
        <v>1</v>
      </c>
      <c r="O32" s="32">
        <f t="shared" si="5"/>
        <v>1</v>
      </c>
      <c r="P32" s="32">
        <f t="shared" si="5"/>
        <v>1</v>
      </c>
      <c r="Q32" s="32">
        <f t="shared" si="5"/>
        <v>1</v>
      </c>
      <c r="R32" s="32">
        <f t="shared" si="5"/>
        <v>1</v>
      </c>
      <c r="S32" s="32">
        <f t="shared" si="5"/>
        <v>1</v>
      </c>
      <c r="T32" s="32"/>
    </row>
    <row r="33" spans="1:20" x14ac:dyDescent="0.25">
      <c r="B33" s="19" t="s">
        <v>3</v>
      </c>
      <c r="C33" s="20">
        <f>IFERROR(C6*C$1,0)</f>
        <v>94513.704800000007</v>
      </c>
      <c r="D33" s="20">
        <f t="shared" ref="D33:I33" si="6">IFERROR(D6*D$1,0)</f>
        <v>102122.6012</v>
      </c>
      <c r="E33" s="20">
        <f t="shared" si="6"/>
        <v>102275.3232</v>
      </c>
      <c r="F33" s="20">
        <f t="shared" si="6"/>
        <v>119243.0349</v>
      </c>
      <c r="G33" s="20">
        <f t="shared" si="6"/>
        <v>129106.70110000001</v>
      </c>
      <c r="H33" s="20">
        <f t="shared" si="6"/>
        <v>140756.11559999999</v>
      </c>
      <c r="I33" s="20">
        <f t="shared" si="6"/>
        <v>157994.03700000001</v>
      </c>
      <c r="J33" s="20">
        <f t="shared" ref="J33" si="7">IFERROR(J6*J$1,0)</f>
        <v>200026</v>
      </c>
      <c r="K33" s="21"/>
      <c r="L33" s="26">
        <f t="shared" ref="L33:L54" si="8">C33/C$32</f>
        <v>0.80190214627199674</v>
      </c>
      <c r="M33" s="26">
        <f t="shared" ref="M33:M54" si="9">D33/D$32</f>
        <v>0.79423691671655605</v>
      </c>
      <c r="N33" s="26">
        <f t="shared" ref="N33:N54" si="10">E33/E$32</f>
        <v>0.79206622754617639</v>
      </c>
      <c r="O33" s="26">
        <f t="shared" ref="O33:O54" si="11">F33/F$32</f>
        <v>0.78695348656824471</v>
      </c>
      <c r="P33" s="26">
        <f t="shared" ref="P33:P54" si="12">G33/G$32</f>
        <v>0.78405939293743199</v>
      </c>
      <c r="Q33" s="26">
        <f t="shared" ref="Q33:Q54" si="13">H33/H$32</f>
        <v>0.77866112504870555</v>
      </c>
      <c r="R33" s="26">
        <f t="shared" ref="R33:S54" si="14">I33/I$32</f>
        <v>0.77742762100303997</v>
      </c>
      <c r="S33" s="26">
        <f t="shared" si="14"/>
        <v>0.77133029468699632</v>
      </c>
      <c r="T33" s="26">
        <f>AVERAGE(L33:S33)</f>
        <v>0.78582965134739358</v>
      </c>
    </row>
    <row r="34" spans="1:20" x14ac:dyDescent="0.25">
      <c r="B34" s="19" t="s">
        <v>4</v>
      </c>
      <c r="C34" s="20">
        <f t="shared" ref="C34:I34" si="15">IFERROR(C7*C$1,0)</f>
        <v>23348.188000000002</v>
      </c>
      <c r="D34" s="20">
        <f t="shared" si="15"/>
        <v>26456.918400000002</v>
      </c>
      <c r="E34" s="20">
        <f t="shared" si="15"/>
        <v>26848.0232</v>
      </c>
      <c r="F34" s="20">
        <f t="shared" si="15"/>
        <v>32281.848000000002</v>
      </c>
      <c r="G34" s="20">
        <f t="shared" si="15"/>
        <v>35557.739200000004</v>
      </c>
      <c r="H34" s="20">
        <f t="shared" si="15"/>
        <v>40011.966</v>
      </c>
      <c r="I34" s="20">
        <f t="shared" si="15"/>
        <v>45232.646400000005</v>
      </c>
      <c r="J34" s="20">
        <f t="shared" ref="J34" si="16">IFERROR(J7*J$1,0)</f>
        <v>59300</v>
      </c>
      <c r="K34" s="21"/>
      <c r="L34" s="26">
        <f t="shared" si="8"/>
        <v>0.19809785372800323</v>
      </c>
      <c r="M34" s="26">
        <f t="shared" si="9"/>
        <v>0.20576308328344384</v>
      </c>
      <c r="N34" s="26">
        <f t="shared" si="10"/>
        <v>0.20792319972933826</v>
      </c>
      <c r="O34" s="26">
        <f t="shared" si="11"/>
        <v>0.21304651343175532</v>
      </c>
      <c r="P34" s="26">
        <f t="shared" si="12"/>
        <v>0.21594060706256812</v>
      </c>
      <c r="Q34" s="26">
        <f t="shared" si="13"/>
        <v>0.2213457108287134</v>
      </c>
      <c r="R34" s="26">
        <f t="shared" ref="R34:S35" si="17">I34/I$32</f>
        <v>0.22257237899696003</v>
      </c>
      <c r="S34" s="26">
        <f t="shared" si="17"/>
        <v>0.22866970531300371</v>
      </c>
      <c r="T34" s="26">
        <f t="shared" ref="T34:T35" si="18">AVERAGE(L34:S34)</f>
        <v>0.21416988154672323</v>
      </c>
    </row>
    <row r="35" spans="1:20" x14ac:dyDescent="0.25">
      <c r="B35" s="19" t="s">
        <v>5</v>
      </c>
      <c r="C35" s="20">
        <f t="shared" ref="C35:I35" si="19">IFERROR(C8*C$1,0)</f>
        <v>17834.838600000003</v>
      </c>
      <c r="D35" s="20">
        <f t="shared" si="19"/>
        <v>20276.956400000003</v>
      </c>
      <c r="E35" s="20">
        <f t="shared" si="19"/>
        <v>20816.569599999999</v>
      </c>
      <c r="F35" s="20">
        <f t="shared" si="19"/>
        <v>25540.7922</v>
      </c>
      <c r="G35" s="20">
        <f t="shared" si="19"/>
        <v>28464.509600000001</v>
      </c>
      <c r="H35" s="20">
        <f t="shared" si="19"/>
        <v>31443.622200000002</v>
      </c>
      <c r="I35" s="20">
        <f t="shared" si="19"/>
        <v>35800.552800000005</v>
      </c>
      <c r="J35" s="20">
        <f t="shared" ref="J35" si="20">IFERROR(J8*J$1,0)</f>
        <v>45554</v>
      </c>
      <c r="K35" s="21"/>
      <c r="L35" s="26">
        <f t="shared" si="8"/>
        <v>0.15131980469942019</v>
      </c>
      <c r="M35" s="26">
        <f t="shared" si="9"/>
        <v>0.1576997368094071</v>
      </c>
      <c r="N35" s="26">
        <f t="shared" si="10"/>
        <v>0.16121290295296195</v>
      </c>
      <c r="O35" s="26">
        <f t="shared" si="11"/>
        <v>0.16855840249588472</v>
      </c>
      <c r="P35" s="26">
        <f t="shared" si="12"/>
        <v>0.17286373152661791</v>
      </c>
      <c r="Q35" s="26">
        <f t="shared" si="13"/>
        <v>0.1739457368050476</v>
      </c>
      <c r="R35" s="26">
        <f t="shared" si="17"/>
        <v>0.17616069012717059</v>
      </c>
      <c r="S35" s="26">
        <f t="shared" si="17"/>
        <v>0.17566306502240422</v>
      </c>
      <c r="T35" s="26">
        <f t="shared" si="18"/>
        <v>0.1671780088048643</v>
      </c>
    </row>
    <row r="36" spans="1:20" x14ac:dyDescent="0.25">
      <c r="A36" s="29"/>
      <c r="B36" s="1" t="s">
        <v>6</v>
      </c>
      <c r="C36" s="2">
        <f t="shared" ref="C36:J36" si="21">IFERROR(C9*C$1,0)</f>
        <v>5511.8508000000002</v>
      </c>
      <c r="D36" s="2">
        <f t="shared" si="21"/>
        <v>6178.5096000000003</v>
      </c>
      <c r="E36" s="2">
        <f t="shared" si="21"/>
        <v>6031.4535999999998</v>
      </c>
      <c r="F36" s="2">
        <f t="shared" si="21"/>
        <v>6739.7499000000007</v>
      </c>
      <c r="G36" s="2">
        <f t="shared" si="21"/>
        <v>7093.2295999999997</v>
      </c>
      <c r="H36" s="2">
        <f t="shared" si="21"/>
        <v>8567.1080999999995</v>
      </c>
      <c r="I36" s="2">
        <f t="shared" si="21"/>
        <v>9432.0936000000002</v>
      </c>
      <c r="J36" s="2">
        <f t="shared" si="21"/>
        <v>13746</v>
      </c>
      <c r="L36" s="32">
        <f t="shared" si="8"/>
        <v>4.6765334147085745E-2</v>
      </c>
      <c r="M36" s="32">
        <f t="shared" si="9"/>
        <v>4.8052050740435337E-2</v>
      </c>
      <c r="N36" s="32">
        <f t="shared" si="10"/>
        <v>4.6710296776376302E-2</v>
      </c>
      <c r="O36" s="32">
        <f t="shared" si="11"/>
        <v>4.4479492549404906E-2</v>
      </c>
      <c r="P36" s="32">
        <f t="shared" si="12"/>
        <v>4.3076875535950188E-2</v>
      </c>
      <c r="Q36" s="32">
        <f t="shared" si="13"/>
        <v>4.7393138146246752E-2</v>
      </c>
      <c r="R36" s="32">
        <f t="shared" si="14"/>
        <v>4.6411688869789428E-2</v>
      </c>
      <c r="S36" s="32">
        <f t="shared" si="14"/>
        <v>5.3006640290599476E-2</v>
      </c>
      <c r="T36" s="32"/>
    </row>
    <row r="37" spans="1:20" x14ac:dyDescent="0.25">
      <c r="B37" s="1" t="s">
        <v>9</v>
      </c>
      <c r="C37" s="2">
        <f t="shared" ref="C37:J37" si="22">IFERROR(C10*C$1,0)</f>
        <v>813.73980000000006</v>
      </c>
      <c r="D37" s="2">
        <f t="shared" si="22"/>
        <v>939.70280000000014</v>
      </c>
      <c r="E37" s="2">
        <f t="shared" si="22"/>
        <v>917.4144</v>
      </c>
      <c r="F37" s="2">
        <f t="shared" si="22"/>
        <v>2635.3062</v>
      </c>
      <c r="G37" s="2">
        <f t="shared" si="22"/>
        <v>2981.8024</v>
      </c>
      <c r="H37" s="2">
        <f t="shared" si="22"/>
        <v>2849.5241999999998</v>
      </c>
      <c r="I37" s="2">
        <f t="shared" si="22"/>
        <v>2865.8556000000003</v>
      </c>
      <c r="J37" s="2">
        <f t="shared" si="22"/>
        <v>3382</v>
      </c>
      <c r="L37" s="32">
        <f t="shared" si="8"/>
        <v>6.9041806530363136E-3</v>
      </c>
      <c r="M37" s="32">
        <f t="shared" si="9"/>
        <v>7.3083396401179279E-3</v>
      </c>
      <c r="N37" s="32">
        <f t="shared" si="10"/>
        <v>7.1048708541704116E-3</v>
      </c>
      <c r="O37" s="32">
        <f t="shared" si="11"/>
        <v>1.7391903887754134E-2</v>
      </c>
      <c r="P37" s="32">
        <f t="shared" si="12"/>
        <v>1.8108356573936019E-2</v>
      </c>
      <c r="Q37" s="32">
        <f t="shared" si="13"/>
        <v>1.5763533328320353E-2</v>
      </c>
      <c r="R37" s="32">
        <f t="shared" si="14"/>
        <v>1.4101768291712427E-2</v>
      </c>
      <c r="S37" s="32">
        <f t="shared" si="14"/>
        <v>1.3041499888171645E-2</v>
      </c>
      <c r="T37" s="32"/>
    </row>
    <row r="38" spans="1:20" x14ac:dyDescent="0.25">
      <c r="B38" s="1" t="s">
        <v>7</v>
      </c>
      <c r="C38" s="2">
        <f t="shared" ref="C38:J38" si="23">IFERROR(C11*C$1,0)</f>
        <v>-52.451000000000008</v>
      </c>
      <c r="D38" s="2">
        <f t="shared" si="23"/>
        <v>-98.763200000000012</v>
      </c>
      <c r="E38" s="2">
        <f t="shared" si="23"/>
        <v>-98.294399999999996</v>
      </c>
      <c r="F38" s="2">
        <f t="shared" si="23"/>
        <v>-114.9192</v>
      </c>
      <c r="G38" s="2">
        <f t="shared" si="23"/>
        <v>-80.142300000000006</v>
      </c>
      <c r="H38" s="2">
        <f t="shared" si="23"/>
        <v>-168.05520000000001</v>
      </c>
      <c r="I38" s="2">
        <f t="shared" si="23"/>
        <v>-145.55700000000002</v>
      </c>
      <c r="J38" s="2">
        <f t="shared" si="23"/>
        <v>-269</v>
      </c>
      <c r="L38" s="32">
        <f t="shared" si="8"/>
        <v>-4.4502085240565557E-4</v>
      </c>
      <c r="M38" s="32">
        <f t="shared" si="9"/>
        <v>-7.6810988489647456E-4</v>
      </c>
      <c r="N38" s="32">
        <f t="shared" si="10"/>
        <v>-7.6123616294682974E-4</v>
      </c>
      <c r="O38" s="32">
        <f t="shared" si="11"/>
        <v>-7.5841800898035874E-4</v>
      </c>
      <c r="P38" s="32">
        <f t="shared" si="12"/>
        <v>-4.8670070996500395E-4</v>
      </c>
      <c r="Q38" s="32">
        <f t="shared" si="13"/>
        <v>-9.2967932899027251E-4</v>
      </c>
      <c r="R38" s="32">
        <f t="shared" si="14"/>
        <v>-7.1622976650909619E-4</v>
      </c>
      <c r="S38" s="32">
        <f t="shared" si="14"/>
        <v>-1.0373043967824283E-3</v>
      </c>
      <c r="T38" s="32"/>
    </row>
    <row r="39" spans="1:20" x14ac:dyDescent="0.25">
      <c r="B39" s="1" t="s">
        <v>8</v>
      </c>
      <c r="C39" s="2">
        <f t="shared" ref="C39:J39" si="24">IFERROR(C12*C$1,0)</f>
        <v>7.4930000000000003</v>
      </c>
      <c r="D39" s="2">
        <f t="shared" si="24"/>
        <v>13.071600000000002</v>
      </c>
      <c r="E39" s="2">
        <f t="shared" si="24"/>
        <v>-49.147199999999998</v>
      </c>
      <c r="F39" s="2">
        <f t="shared" si="24"/>
        <v>10.4472</v>
      </c>
      <c r="G39" s="2">
        <f t="shared" si="24"/>
        <v>-71.2376</v>
      </c>
      <c r="H39" s="2">
        <f t="shared" si="24"/>
        <v>12.356999999999999</v>
      </c>
      <c r="I39" s="2">
        <f t="shared" si="24"/>
        <v>-26.955000000000002</v>
      </c>
      <c r="J39" s="2">
        <f t="shared" si="24"/>
        <v>-50</v>
      </c>
      <c r="L39" s="32">
        <f t="shared" si="8"/>
        <v>6.3574407486522225E-5</v>
      </c>
      <c r="M39" s="32">
        <f t="shared" si="9"/>
        <v>1.016616024127687E-4</v>
      </c>
      <c r="N39" s="32">
        <f t="shared" si="10"/>
        <v>-3.8061808147341487E-4</v>
      </c>
      <c r="O39" s="32">
        <f t="shared" si="11"/>
        <v>6.8947091725487153E-5</v>
      </c>
      <c r="P39" s="32">
        <f t="shared" si="12"/>
        <v>-4.3262285330222572E-4</v>
      </c>
      <c r="Q39" s="32">
        <f t="shared" si="13"/>
        <v>6.8358774190461209E-5</v>
      </c>
      <c r="R39" s="32">
        <f t="shared" si="14"/>
        <v>-1.326351419461289E-4</v>
      </c>
      <c r="S39" s="32">
        <f t="shared" si="14"/>
        <v>-1.9280750869561864E-4</v>
      </c>
      <c r="T39" s="32"/>
    </row>
    <row r="40" spans="1:20" x14ac:dyDescent="0.25">
      <c r="B40" s="1" t="s">
        <v>22</v>
      </c>
      <c r="C40" s="2">
        <f t="shared" ref="C40:J40" si="25">IFERROR(C13*C$1,0)</f>
        <v>788.26360000000011</v>
      </c>
      <c r="D40" s="2">
        <f t="shared" si="25"/>
        <v>861.27320000000009</v>
      </c>
      <c r="E40" s="2">
        <f t="shared" si="25"/>
        <v>842.32839999999999</v>
      </c>
      <c r="F40" s="2">
        <f t="shared" si="25"/>
        <v>1030.3551</v>
      </c>
      <c r="G40" s="2">
        <f t="shared" si="25"/>
        <v>1125.8085000000001</v>
      </c>
      <c r="H40" s="2">
        <f t="shared" si="25"/>
        <v>1243.1142</v>
      </c>
      <c r="I40" s="2">
        <f t="shared" si="25"/>
        <v>1462.0392000000002</v>
      </c>
      <c r="J40" s="2">
        <f t="shared" si="25"/>
        <v>2049</v>
      </c>
      <c r="L40" s="32">
        <f t="shared" si="8"/>
        <v>6.688027667582138E-3</v>
      </c>
      <c r="M40" s="32">
        <f t="shared" si="9"/>
        <v>6.698370025641315E-3</v>
      </c>
      <c r="N40" s="32">
        <f t="shared" si="10"/>
        <v>6.5233710074749165E-3</v>
      </c>
      <c r="O40" s="32">
        <f t="shared" si="11"/>
        <v>6.7999069214261703E-3</v>
      </c>
      <c r="P40" s="32">
        <f t="shared" si="12"/>
        <v>6.8369861637941039E-3</v>
      </c>
      <c r="Q40" s="32">
        <f t="shared" si="13"/>
        <v>6.8768926835603974E-3</v>
      </c>
      <c r="R40" s="32">
        <f t="shared" si="14"/>
        <v>7.1941300991580324E-3</v>
      </c>
      <c r="S40" s="32">
        <f t="shared" si="14"/>
        <v>7.9012517063464516E-3</v>
      </c>
      <c r="T40" s="32"/>
    </row>
    <row r="41" spans="1:20" x14ac:dyDescent="0.25">
      <c r="B41" s="12"/>
      <c r="C41" s="2">
        <f t="shared" ref="C41:J41" si="26">IFERROR(C14*C$1,0)</f>
        <v>1557.0454000000002</v>
      </c>
      <c r="D41" s="2">
        <f t="shared" si="26"/>
        <v>1715.2844000000002</v>
      </c>
      <c r="E41" s="2">
        <f t="shared" si="26"/>
        <v>1612.3011999999999</v>
      </c>
      <c r="F41" s="2">
        <f t="shared" si="26"/>
        <v>3561.1893</v>
      </c>
      <c r="G41" s="2">
        <f t="shared" si="26"/>
        <v>3956.2310000000002</v>
      </c>
      <c r="H41" s="2">
        <f t="shared" si="26"/>
        <v>3936.9402</v>
      </c>
      <c r="I41" s="2">
        <f t="shared" si="26"/>
        <v>4155.3828000000003</v>
      </c>
      <c r="J41" s="2">
        <f t="shared" si="26"/>
        <v>5112</v>
      </c>
      <c r="L41" s="32">
        <f t="shared" si="8"/>
        <v>1.3210761875699318E-2</v>
      </c>
      <c r="M41" s="32">
        <f t="shared" si="9"/>
        <v>1.3340261383275537E-2</v>
      </c>
      <c r="N41" s="32">
        <f t="shared" si="10"/>
        <v>1.2486387617225082E-2</v>
      </c>
      <c r="O41" s="32">
        <f t="shared" si="11"/>
        <v>2.3502339891925433E-2</v>
      </c>
      <c r="P41" s="32">
        <f t="shared" si="12"/>
        <v>2.4026019174462895E-2</v>
      </c>
      <c r="Q41" s="32">
        <f t="shared" si="13"/>
        <v>2.1779105457080943E-2</v>
      </c>
      <c r="R41" s="32">
        <f t="shared" si="14"/>
        <v>2.0447033482415233E-2</v>
      </c>
      <c r="S41" s="32">
        <f t="shared" si="14"/>
        <v>1.9712639689040051E-2</v>
      </c>
      <c r="T41" s="32"/>
    </row>
    <row r="42" spans="1:20" x14ac:dyDescent="0.25">
      <c r="B42" s="3" t="s">
        <v>10</v>
      </c>
      <c r="C42" s="2">
        <f t="shared" ref="C42:J42" si="27">IFERROR(C15*C$1,0)</f>
        <v>0</v>
      </c>
      <c r="D42" s="2">
        <f t="shared" si="27"/>
        <v>0</v>
      </c>
      <c r="E42" s="2">
        <f t="shared" si="27"/>
        <v>0</v>
      </c>
      <c r="F42" s="2">
        <f t="shared" si="27"/>
        <v>0</v>
      </c>
      <c r="G42" s="2">
        <f t="shared" si="27"/>
        <v>0</v>
      </c>
      <c r="H42" s="2">
        <f t="shared" si="27"/>
        <v>0</v>
      </c>
      <c r="I42" s="2">
        <f t="shared" si="27"/>
        <v>58.222799999999999</v>
      </c>
      <c r="J42" s="2">
        <f t="shared" si="27"/>
        <v>89</v>
      </c>
      <c r="L42" s="32">
        <f t="shared" si="8"/>
        <v>0</v>
      </c>
      <c r="M42" s="32">
        <f t="shared" si="9"/>
        <v>0</v>
      </c>
      <c r="N42" s="32">
        <f t="shared" si="10"/>
        <v>0</v>
      </c>
      <c r="O42" s="32">
        <f t="shared" si="11"/>
        <v>0</v>
      </c>
      <c r="P42" s="32">
        <f t="shared" si="12"/>
        <v>0</v>
      </c>
      <c r="Q42" s="32">
        <f t="shared" si="13"/>
        <v>0</v>
      </c>
      <c r="R42" s="32">
        <f t="shared" si="14"/>
        <v>2.8649190660363845E-4</v>
      </c>
      <c r="S42" s="32">
        <f t="shared" si="14"/>
        <v>3.431973654782012E-4</v>
      </c>
      <c r="T42" s="32"/>
    </row>
    <row r="43" spans="1:20" x14ac:dyDescent="0.25">
      <c r="B43" s="1" t="s">
        <v>11</v>
      </c>
      <c r="C43" s="2">
        <f t="shared" ref="C43:J43" si="28">IFERROR(C16*C$1,0)</f>
        <v>3954.8054000000002</v>
      </c>
      <c r="D43" s="2">
        <f t="shared" si="28"/>
        <v>4463.2252000000008</v>
      </c>
      <c r="E43" s="2">
        <f t="shared" si="28"/>
        <v>4420.5176000000001</v>
      </c>
      <c r="F43" s="2">
        <f t="shared" si="28"/>
        <v>3179.8665000000001</v>
      </c>
      <c r="G43" s="2">
        <f t="shared" si="28"/>
        <v>3135.7265000000002</v>
      </c>
      <c r="H43" s="2">
        <f t="shared" si="28"/>
        <v>4631.4035999999996</v>
      </c>
      <c r="I43" s="2">
        <f t="shared" si="28"/>
        <v>5337.09</v>
      </c>
      <c r="J43" s="2">
        <f t="shared" si="28"/>
        <v>8722</v>
      </c>
      <c r="L43" s="32">
        <f t="shared" si="8"/>
        <v>3.3554572271386425E-2</v>
      </c>
      <c r="M43" s="32">
        <f t="shared" si="9"/>
        <v>3.4711789357159802E-2</v>
      </c>
      <c r="N43" s="32">
        <f t="shared" si="10"/>
        <v>3.4234481883636599E-2</v>
      </c>
      <c r="O43" s="32">
        <f t="shared" si="11"/>
        <v>2.0985771043945153E-2</v>
      </c>
      <c r="P43" s="32">
        <f t="shared" si="12"/>
        <v>1.9043130953392617E-2</v>
      </c>
      <c r="Q43" s="32">
        <f t="shared" si="13"/>
        <v>2.562086856658486E-2</v>
      </c>
      <c r="R43" s="32">
        <f t="shared" si="14"/>
        <v>2.6261758105333523E-2</v>
      </c>
      <c r="S43" s="32">
        <f t="shared" si="14"/>
        <v>3.3633341816863713E-2</v>
      </c>
      <c r="T43" s="32"/>
    </row>
    <row r="44" spans="1:20" x14ac:dyDescent="0.25">
      <c r="B44" s="1" t="s">
        <v>12</v>
      </c>
      <c r="C44" s="2">
        <f t="shared" ref="C44:J44" si="29">IFERROR(C17*C$1,0)</f>
        <v>1273.8100000000002</v>
      </c>
      <c r="D44" s="2">
        <f t="shared" si="29"/>
        <v>1543.9012000000002</v>
      </c>
      <c r="E44" s="2">
        <f t="shared" si="29"/>
        <v>1529.0239999999999</v>
      </c>
      <c r="F44" s="2">
        <f t="shared" si="29"/>
        <v>1107.4032</v>
      </c>
      <c r="G44" s="2">
        <f t="shared" si="29"/>
        <v>1180.5088000000001</v>
      </c>
      <c r="H44" s="2">
        <f t="shared" si="29"/>
        <v>1325.9060999999999</v>
      </c>
      <c r="I44" s="2">
        <f t="shared" si="29"/>
        <v>1583.8758</v>
      </c>
      <c r="J44" s="2">
        <f t="shared" si="29"/>
        <v>2546</v>
      </c>
      <c r="L44" s="32">
        <f t="shared" si="8"/>
        <v>1.0807649272708778E-2</v>
      </c>
      <c r="M44" s="32">
        <f t="shared" si="9"/>
        <v>1.2007364818308126E-2</v>
      </c>
      <c r="N44" s="32">
        <f t="shared" si="10"/>
        <v>1.1841451423617352E-2</v>
      </c>
      <c r="O44" s="32">
        <f t="shared" si="11"/>
        <v>7.3083917229016379E-3</v>
      </c>
      <c r="P44" s="32">
        <f t="shared" si="12"/>
        <v>7.1691787118654555E-3</v>
      </c>
      <c r="Q44" s="32">
        <f t="shared" si="13"/>
        <v>7.3348964706364877E-3</v>
      </c>
      <c r="R44" s="32">
        <f t="shared" si="14"/>
        <v>7.7936409407545343E-3</v>
      </c>
      <c r="S44" s="32">
        <f t="shared" si="14"/>
        <v>9.817758342780902E-3</v>
      </c>
      <c r="T44" s="32"/>
    </row>
    <row r="45" spans="1:20" x14ac:dyDescent="0.25">
      <c r="B45" s="16" t="s">
        <v>13</v>
      </c>
      <c r="C45" s="15">
        <f t="shared" ref="C45:J45" si="30">IFERROR(C18*C$1,0)</f>
        <v>2682.4940000000001</v>
      </c>
      <c r="D45" s="15">
        <f t="shared" si="30"/>
        <v>2919.3240000000001</v>
      </c>
      <c r="E45" s="15">
        <f t="shared" si="30"/>
        <v>2890.1284000000001</v>
      </c>
      <c r="F45" s="15">
        <f t="shared" si="30"/>
        <v>2071.1574000000001</v>
      </c>
      <c r="G45" s="15">
        <f t="shared" si="30"/>
        <v>1955.2176999999999</v>
      </c>
      <c r="H45" s="15">
        <f t="shared" si="30"/>
        <v>3304.2618000000002</v>
      </c>
      <c r="I45" s="15">
        <f t="shared" si="30"/>
        <v>3752.136</v>
      </c>
      <c r="J45" s="2">
        <f t="shared" si="30"/>
        <v>6176</v>
      </c>
      <c r="L45" s="32">
        <f t="shared" si="8"/>
        <v>2.2759637880174956E-2</v>
      </c>
      <c r="M45" s="32">
        <f t="shared" si="9"/>
        <v>2.2704424538851672E-2</v>
      </c>
      <c r="N45" s="32">
        <f t="shared" si="10"/>
        <v>2.2382457735533871E-2</v>
      </c>
      <c r="O45" s="32">
        <f t="shared" si="11"/>
        <v>1.3668760934577829E-2</v>
      </c>
      <c r="P45" s="32">
        <f t="shared" si="12"/>
        <v>1.187395224152716E-2</v>
      </c>
      <c r="Q45" s="32">
        <f t="shared" si="13"/>
        <v>1.8279136218529328E-2</v>
      </c>
      <c r="R45" s="32">
        <f t="shared" si="14"/>
        <v>1.8462811758901142E-2</v>
      </c>
      <c r="S45" s="32">
        <f t="shared" si="14"/>
        <v>2.3815583474082816E-2</v>
      </c>
      <c r="T45" s="32"/>
    </row>
    <row r="46" spans="1:20" x14ac:dyDescent="0.25">
      <c r="B46" s="3" t="s">
        <v>14</v>
      </c>
      <c r="C46" s="2">
        <f t="shared" ref="C46:J46" si="31">IFERROR(C19*C$1,0)</f>
        <v>2607.5640000000003</v>
      </c>
      <c r="D46" s="2">
        <f t="shared" si="31"/>
        <v>2836.5372000000002</v>
      </c>
      <c r="E46" s="2">
        <f t="shared" si="31"/>
        <v>2838.2507999999998</v>
      </c>
      <c r="F46" s="2">
        <f t="shared" si="31"/>
        <v>2139.0642000000003</v>
      </c>
      <c r="G46" s="2">
        <f t="shared" si="31"/>
        <v>1992.1086</v>
      </c>
      <c r="H46" s="2">
        <f t="shared" si="31"/>
        <v>3199.2273</v>
      </c>
      <c r="I46" s="2">
        <f t="shared" si="31"/>
        <v>3687.444</v>
      </c>
      <c r="J46" s="2">
        <f t="shared" si="31"/>
        <v>5997</v>
      </c>
      <c r="L46" s="32">
        <f t="shared" si="8"/>
        <v>2.2123893805309734E-2</v>
      </c>
      <c r="M46" s="32">
        <f t="shared" si="9"/>
        <v>2.2060567723570807E-2</v>
      </c>
      <c r="N46" s="32">
        <f t="shared" si="10"/>
        <v>2.1980694205089708E-2</v>
      </c>
      <c r="O46" s="32">
        <f t="shared" si="11"/>
        <v>1.4116917030793498E-2</v>
      </c>
      <c r="P46" s="32">
        <f t="shared" si="12"/>
        <v>1.2097989076272955E-2</v>
      </c>
      <c r="Q46" s="32">
        <f t="shared" si="13"/>
        <v>1.7698086637910407E-2</v>
      </c>
      <c r="R46" s="32">
        <f t="shared" si="14"/>
        <v>1.8144487418230434E-2</v>
      </c>
      <c r="S46" s="32">
        <f t="shared" si="14"/>
        <v>2.3125332592952502E-2</v>
      </c>
      <c r="T46" s="32"/>
    </row>
    <row r="47" spans="1:20" x14ac:dyDescent="0.25">
      <c r="B47" s="3" t="s">
        <v>15</v>
      </c>
      <c r="C47" s="2">
        <f t="shared" ref="C47:J47" si="32">IFERROR(C20*C$1,0)</f>
        <v>74.930000000000007</v>
      </c>
      <c r="D47" s="2">
        <f t="shared" si="32"/>
        <v>82.786800000000014</v>
      </c>
      <c r="E47" s="2">
        <f t="shared" si="32"/>
        <v>51.877600000000001</v>
      </c>
      <c r="F47" s="2">
        <f t="shared" si="32"/>
        <v>-66.60090000000001</v>
      </c>
      <c r="G47" s="2">
        <f t="shared" si="32"/>
        <v>-36.890900000000002</v>
      </c>
      <c r="H47" s="2">
        <f t="shared" si="32"/>
        <v>105.03450000000001</v>
      </c>
      <c r="I47" s="2">
        <f t="shared" si="32"/>
        <v>64.692000000000007</v>
      </c>
      <c r="J47" s="2">
        <f t="shared" si="32"/>
        <v>179</v>
      </c>
      <c r="L47" s="32">
        <f t="shared" si="8"/>
        <v>6.3574407486522225E-4</v>
      </c>
      <c r="M47" s="32">
        <f t="shared" si="9"/>
        <v>6.4385681528086847E-4</v>
      </c>
      <c r="N47" s="32">
        <f t="shared" si="10"/>
        <v>4.0176353044416019E-4</v>
      </c>
      <c r="O47" s="32">
        <f t="shared" si="11"/>
        <v>-4.3953770974998067E-4</v>
      </c>
      <c r="P47" s="32">
        <f t="shared" si="12"/>
        <v>-2.2403683474579548E-4</v>
      </c>
      <c r="Q47" s="32">
        <f t="shared" si="13"/>
        <v>5.8104958061892039E-4</v>
      </c>
      <c r="R47" s="32">
        <f t="shared" si="14"/>
        <v>3.183243406707094E-4</v>
      </c>
      <c r="S47" s="32">
        <f t="shared" si="14"/>
        <v>6.9025088113031476E-4</v>
      </c>
      <c r="T47" s="32"/>
    </row>
    <row r="48" spans="1:20" x14ac:dyDescent="0.25">
      <c r="B48" s="1" t="s">
        <v>13</v>
      </c>
      <c r="C48" s="2">
        <f t="shared" ref="C48:J48" si="33">IFERROR(C21*C$1,0)</f>
        <v>2682.4940000000001</v>
      </c>
      <c r="D48" s="2">
        <f t="shared" si="33"/>
        <v>2919.3240000000001</v>
      </c>
      <c r="E48" s="2">
        <f t="shared" si="33"/>
        <v>2890.1284000000001</v>
      </c>
      <c r="F48" s="2">
        <f t="shared" si="33"/>
        <v>2071.1574000000001</v>
      </c>
      <c r="G48" s="2">
        <f t="shared" si="33"/>
        <v>1955.2176999999999</v>
      </c>
      <c r="H48" s="2">
        <f t="shared" si="33"/>
        <v>3304.2618000000002</v>
      </c>
      <c r="I48" s="2">
        <f t="shared" si="33"/>
        <v>3752.136</v>
      </c>
      <c r="J48" s="2">
        <f t="shared" si="33"/>
        <v>6176</v>
      </c>
      <c r="L48" s="32">
        <f t="shared" si="8"/>
        <v>2.2759637880174956E-2</v>
      </c>
      <c r="M48" s="32">
        <f t="shared" si="9"/>
        <v>2.2704424538851672E-2</v>
      </c>
      <c r="N48" s="32">
        <f t="shared" si="10"/>
        <v>2.2382457735533871E-2</v>
      </c>
      <c r="O48" s="32">
        <f t="shared" si="11"/>
        <v>1.3668760934577829E-2</v>
      </c>
      <c r="P48" s="32">
        <f t="shared" si="12"/>
        <v>1.187395224152716E-2</v>
      </c>
      <c r="Q48" s="32">
        <f t="shared" si="13"/>
        <v>1.8279136218529328E-2</v>
      </c>
      <c r="R48" s="32">
        <f t="shared" si="14"/>
        <v>1.8462811758901142E-2</v>
      </c>
      <c r="S48" s="32">
        <f t="shared" si="14"/>
        <v>2.3815583474082816E-2</v>
      </c>
      <c r="T48" s="32"/>
    </row>
    <row r="49" spans="2:21" x14ac:dyDescent="0.25">
      <c r="B49" s="1" t="s">
        <v>16</v>
      </c>
      <c r="C49" s="2">
        <v>963917211</v>
      </c>
      <c r="D49" s="2">
        <v>963917211</v>
      </c>
      <c r="E49" s="2">
        <v>963917211</v>
      </c>
      <c r="F49" s="2">
        <v>963917211</v>
      </c>
      <c r="G49" s="2">
        <v>963917211</v>
      </c>
      <c r="H49" s="2">
        <v>963917211</v>
      </c>
      <c r="I49" s="2">
        <v>963917211</v>
      </c>
      <c r="J49" s="2">
        <f t="shared" ref="J49" si="34">IFERROR(J22*J$1,0)</f>
        <v>963917211</v>
      </c>
      <c r="L49" s="32"/>
      <c r="M49" s="32"/>
      <c r="N49" s="32"/>
      <c r="O49" s="32"/>
      <c r="P49" s="32"/>
      <c r="Q49" s="32"/>
      <c r="R49" s="32"/>
      <c r="S49" s="32"/>
      <c r="T49" s="32"/>
    </row>
    <row r="50" spans="2:21" x14ac:dyDescent="0.25">
      <c r="B50" s="1" t="s">
        <v>17</v>
      </c>
      <c r="C50" s="9">
        <v>1.8</v>
      </c>
      <c r="D50" s="9">
        <v>2</v>
      </c>
      <c r="E50" s="9">
        <v>2.2000000000000002</v>
      </c>
      <c r="F50" s="9">
        <v>1.7</v>
      </c>
      <c r="G50" s="9">
        <v>1.6</v>
      </c>
      <c r="H50" s="9">
        <v>2.7</v>
      </c>
      <c r="I50" s="9">
        <v>3.5</v>
      </c>
      <c r="J50" s="2">
        <f t="shared" ref="J50" si="35">IFERROR(J23*J$1,0)</f>
        <v>6.2</v>
      </c>
      <c r="L50" s="32"/>
      <c r="M50" s="32"/>
      <c r="N50" s="32"/>
      <c r="O50" s="32"/>
      <c r="P50" s="32"/>
      <c r="Q50" s="32"/>
      <c r="R50" s="32"/>
      <c r="S50" s="32"/>
      <c r="T50" s="32"/>
    </row>
    <row r="51" spans="2:21" x14ac:dyDescent="0.25">
      <c r="B51" s="10" t="s">
        <v>18</v>
      </c>
      <c r="C51" s="2"/>
      <c r="D51" s="2"/>
      <c r="E51" s="2"/>
      <c r="F51" s="2"/>
      <c r="G51" s="2"/>
      <c r="H51" s="2"/>
      <c r="I51" s="2"/>
      <c r="J51" s="2"/>
      <c r="L51" s="32">
        <f t="shared" si="8"/>
        <v>0</v>
      </c>
      <c r="M51" s="32">
        <f t="shared" si="9"/>
        <v>0</v>
      </c>
      <c r="N51" s="32">
        <f t="shared" si="10"/>
        <v>0</v>
      </c>
      <c r="O51" s="32">
        <f t="shared" si="11"/>
        <v>0</v>
      </c>
      <c r="P51" s="32">
        <f t="shared" si="12"/>
        <v>0</v>
      </c>
      <c r="Q51" s="32">
        <f t="shared" si="13"/>
        <v>0</v>
      </c>
      <c r="R51" s="32">
        <f t="shared" si="14"/>
        <v>0</v>
      </c>
      <c r="S51" s="32">
        <f t="shared" si="14"/>
        <v>0</v>
      </c>
      <c r="T51" s="32"/>
    </row>
    <row r="52" spans="2:21" x14ac:dyDescent="0.25">
      <c r="B52" s="1" t="s">
        <v>19</v>
      </c>
      <c r="C52" s="2">
        <f t="shared" ref="C52:J54" si="36">IFERROR(C25*C$1,0)</f>
        <v>6623.8120000000008</v>
      </c>
      <c r="D52" s="2">
        <f t="shared" si="36"/>
        <v>4994.8036000000002</v>
      </c>
      <c r="E52" s="2">
        <f t="shared" si="36"/>
        <v>6967.9808000000003</v>
      </c>
      <c r="F52" s="2">
        <f t="shared" si="36"/>
        <v>8857.9197000000004</v>
      </c>
      <c r="G52" s="2">
        <f t="shared" si="36"/>
        <v>7065.2434000000003</v>
      </c>
      <c r="H52" s="2">
        <f t="shared" si="36"/>
        <v>15221.3526</v>
      </c>
      <c r="I52" s="2">
        <f t="shared" si="36"/>
        <v>17362.2546</v>
      </c>
      <c r="J52" s="2">
        <f t="shared" si="36"/>
        <v>18540</v>
      </c>
      <c r="L52" s="32">
        <f t="shared" si="8"/>
        <v>5.6199776218085647E-2</v>
      </c>
      <c r="M52" s="32">
        <f t="shared" si="9"/>
        <v>3.8846027855279061E-2</v>
      </c>
      <c r="N52" s="32">
        <f t="shared" si="10"/>
        <v>5.3963185773341936E-2</v>
      </c>
      <c r="O52" s="32">
        <f t="shared" si="11"/>
        <v>5.8458515396747422E-2</v>
      </c>
      <c r="P52" s="32">
        <f t="shared" si="12"/>
        <v>4.2906916557867172E-2</v>
      </c>
      <c r="Q52" s="32">
        <f t="shared" si="13"/>
        <v>8.4204338047810121E-2</v>
      </c>
      <c r="R52" s="32">
        <f t="shared" si="14"/>
        <v>8.5432947630340553E-2</v>
      </c>
      <c r="S52" s="32">
        <f t="shared" si="14"/>
        <v>7.1493024224335386E-2</v>
      </c>
      <c r="T52" s="32"/>
    </row>
    <row r="53" spans="2:21" x14ac:dyDescent="0.25">
      <c r="B53" s="1" t="s">
        <v>20</v>
      </c>
      <c r="C53" s="2">
        <f t="shared" si="36"/>
        <v>-4098.6710000000003</v>
      </c>
      <c r="D53" s="2">
        <f t="shared" si="36"/>
        <v>-4877.1592000000001</v>
      </c>
      <c r="E53" s="2">
        <f t="shared" si="36"/>
        <v>-4222.5635999999995</v>
      </c>
      <c r="F53" s="2">
        <f t="shared" si="36"/>
        <v>-11544.156000000001</v>
      </c>
      <c r="G53" s="2">
        <f t="shared" si="36"/>
        <v>-3619.1244999999999</v>
      </c>
      <c r="H53" s="2">
        <f t="shared" si="36"/>
        <v>-3133.7352000000001</v>
      </c>
      <c r="I53" s="2">
        <f t="shared" si="36"/>
        <v>-16843.6404</v>
      </c>
      <c r="J53" s="2">
        <f t="shared" si="36"/>
        <v>-6481</v>
      </c>
      <c r="L53" s="32">
        <f t="shared" si="8"/>
        <v>-3.4775200895127652E-2</v>
      </c>
      <c r="M53" s="32">
        <f t="shared" si="9"/>
        <v>-3.7931073433564139E-2</v>
      </c>
      <c r="N53" s="32">
        <f t="shared" si="10"/>
        <v>-3.2701436833257561E-2</v>
      </c>
      <c r="O53" s="32">
        <f t="shared" si="11"/>
        <v>-7.6186536356663309E-2</v>
      </c>
      <c r="P53" s="32">
        <f t="shared" si="12"/>
        <v>-2.1978786029372002E-2</v>
      </c>
      <c r="Q53" s="32">
        <f t="shared" si="13"/>
        <v>-1.7335785134700965E-2</v>
      </c>
      <c r="R53" s="32">
        <f t="shared" si="14"/>
        <v>-8.2881047499297034E-2</v>
      </c>
      <c r="S53" s="32">
        <f t="shared" si="14"/>
        <v>-2.4991709277126087E-2</v>
      </c>
      <c r="T53" s="32"/>
    </row>
    <row r="54" spans="2:21" x14ac:dyDescent="0.25">
      <c r="B54" s="1" t="s">
        <v>21</v>
      </c>
      <c r="C54" s="2">
        <f t="shared" si="36"/>
        <v>-621.9190000000001</v>
      </c>
      <c r="D54" s="2">
        <f t="shared" si="36"/>
        <v>-1660.0932000000003</v>
      </c>
      <c r="E54" s="2">
        <f t="shared" si="36"/>
        <v>-1968.6184000000001</v>
      </c>
      <c r="F54" s="2">
        <f t="shared" si="36"/>
        <v>2559.5640000000003</v>
      </c>
      <c r="G54" s="2">
        <f t="shared" si="36"/>
        <v>-3916.7959000000001</v>
      </c>
      <c r="H54" s="2">
        <f t="shared" si="36"/>
        <v>-6517.0817999999999</v>
      </c>
      <c r="I54" s="2">
        <f t="shared" si="36"/>
        <v>3803.8896</v>
      </c>
      <c r="J54" s="2">
        <f t="shared" si="36"/>
        <v>-9516</v>
      </c>
      <c r="L54" s="32">
        <f t="shared" si="8"/>
        <v>-5.2766758213813447E-3</v>
      </c>
      <c r="M54" s="32">
        <f t="shared" si="9"/>
        <v>-1.2911023506421626E-2</v>
      </c>
      <c r="N54" s="32">
        <f t="shared" si="10"/>
        <v>-1.5245868707907341E-2</v>
      </c>
      <c r="O54" s="32">
        <f t="shared" si="11"/>
        <v>1.6892037472744356E-2</v>
      </c>
      <c r="P54" s="32">
        <f t="shared" si="12"/>
        <v>-2.3786531523527731E-2</v>
      </c>
      <c r="Q54" s="32">
        <f t="shared" si="13"/>
        <v>-3.6052417508049245E-2</v>
      </c>
      <c r="R54" s="32">
        <f t="shared" si="14"/>
        <v>1.8717471231437712E-2</v>
      </c>
      <c r="S54" s="32">
        <f t="shared" si="14"/>
        <v>-3.6695125054950137E-2</v>
      </c>
      <c r="T54" s="32"/>
    </row>
    <row r="55" spans="2:21" x14ac:dyDescent="0.25">
      <c r="U55" s="31" t="s">
        <v>151</v>
      </c>
    </row>
    <row r="57" spans="2:21" ht="18.600000000000001" x14ac:dyDescent="0.35">
      <c r="B57" s="4" t="s">
        <v>24</v>
      </c>
      <c r="C57" s="210" t="s">
        <v>2</v>
      </c>
      <c r="D57" s="210"/>
      <c r="E57" s="210"/>
      <c r="F57" s="210"/>
      <c r="G57" s="210"/>
      <c r="H57" s="210"/>
      <c r="I57" s="210"/>
      <c r="J57" s="78"/>
      <c r="L57" s="208" t="s">
        <v>135</v>
      </c>
      <c r="M57" s="208"/>
      <c r="N57" s="208"/>
      <c r="O57" s="208"/>
      <c r="P57" s="208"/>
      <c r="Q57" s="208"/>
      <c r="R57" s="208"/>
      <c r="S57" s="208"/>
    </row>
    <row r="58" spans="2:21" x14ac:dyDescent="0.25">
      <c r="B58" s="5" t="s">
        <v>1</v>
      </c>
      <c r="C58" s="6">
        <v>2015</v>
      </c>
      <c r="D58" s="6">
        <v>2016</v>
      </c>
      <c r="E58" s="6">
        <v>2017</v>
      </c>
      <c r="F58" s="6">
        <v>2018</v>
      </c>
      <c r="G58" s="6">
        <v>2019</v>
      </c>
      <c r="H58" s="6">
        <v>2020</v>
      </c>
      <c r="I58" s="6">
        <v>2021</v>
      </c>
      <c r="J58" s="6">
        <v>2022</v>
      </c>
      <c r="L58" s="84">
        <f t="shared" ref="L58:R58" si="37">D58</f>
        <v>2016</v>
      </c>
      <c r="M58" s="84">
        <f t="shared" si="37"/>
        <v>2017</v>
      </c>
      <c r="N58" s="84">
        <f t="shared" si="37"/>
        <v>2018</v>
      </c>
      <c r="O58" s="84">
        <f t="shared" si="37"/>
        <v>2019</v>
      </c>
      <c r="P58" s="84">
        <f t="shared" si="37"/>
        <v>2020</v>
      </c>
      <c r="Q58" s="84">
        <f t="shared" si="37"/>
        <v>2021</v>
      </c>
      <c r="R58" s="84">
        <f t="shared" si="37"/>
        <v>2022</v>
      </c>
      <c r="S58" s="84" t="s">
        <v>131</v>
      </c>
    </row>
    <row r="59" spans="2:21" x14ac:dyDescent="0.25">
      <c r="B59" s="13" t="s">
        <v>0</v>
      </c>
      <c r="C59" s="8">
        <f>C32</f>
        <v>117861.89280000002</v>
      </c>
      <c r="D59" s="8">
        <f t="shared" ref="D59:J59" si="38">D32</f>
        <v>128579.51960000001</v>
      </c>
      <c r="E59" s="8">
        <f t="shared" si="38"/>
        <v>129124.7116</v>
      </c>
      <c r="F59" s="8">
        <f t="shared" si="38"/>
        <v>151524.8829</v>
      </c>
      <c r="G59" s="8">
        <f t="shared" si="38"/>
        <v>164664.44029999999</v>
      </c>
      <c r="H59" s="8">
        <f t="shared" si="38"/>
        <v>180766.84590000001</v>
      </c>
      <c r="I59" s="8">
        <f t="shared" si="38"/>
        <v>203226.68340000001</v>
      </c>
      <c r="J59" s="8">
        <f t="shared" si="38"/>
        <v>259326</v>
      </c>
      <c r="L59" s="34">
        <f t="shared" ref="L59:R59" si="39">D59/C59-1</f>
        <v>9.0933774652565136E-2</v>
      </c>
      <c r="M59" s="34">
        <f t="shared" si="39"/>
        <v>4.2401153908182554E-3</v>
      </c>
      <c r="N59" s="34">
        <f t="shared" si="39"/>
        <v>0.1734770286991294</v>
      </c>
      <c r="O59" s="34">
        <f t="shared" si="39"/>
        <v>8.6715509350840714E-2</v>
      </c>
      <c r="P59" s="34">
        <f t="shared" si="39"/>
        <v>9.7789210412784211E-2</v>
      </c>
      <c r="Q59" s="34">
        <f t="shared" si="39"/>
        <v>0.124247548759161</v>
      </c>
      <c r="R59" s="34">
        <f t="shared" si="39"/>
        <v>0.27604306512045351</v>
      </c>
      <c r="S59" s="49">
        <f>AVERAGE(L59:R59)</f>
        <v>0.12192089319796461</v>
      </c>
    </row>
    <row r="60" spans="2:21" x14ac:dyDescent="0.25">
      <c r="B60" s="19" t="s">
        <v>3</v>
      </c>
      <c r="C60" s="20">
        <f>C33</f>
        <v>94513.704800000007</v>
      </c>
      <c r="D60" s="20">
        <f t="shared" ref="D60:I60" si="40">D33</f>
        <v>102122.6012</v>
      </c>
      <c r="E60" s="20">
        <f t="shared" si="40"/>
        <v>102275.3232</v>
      </c>
      <c r="F60" s="20">
        <f t="shared" si="40"/>
        <v>119243.0349</v>
      </c>
      <c r="G60" s="20">
        <f t="shared" si="40"/>
        <v>129106.70110000001</v>
      </c>
      <c r="H60" s="20">
        <f t="shared" si="40"/>
        <v>140756.11559999999</v>
      </c>
      <c r="I60" s="20">
        <f t="shared" si="40"/>
        <v>157994.03700000001</v>
      </c>
      <c r="J60" s="20">
        <f t="shared" ref="J60" si="41">J33</f>
        <v>200026</v>
      </c>
      <c r="K60" s="21"/>
      <c r="L60" s="18">
        <f t="shared" ref="L60:L67" si="42">D60/C60-1</f>
        <v>8.0505746929518285E-2</v>
      </c>
      <c r="M60" s="18">
        <f t="shared" ref="M60:M67" si="43">E60/D60-1</f>
        <v>1.4954769875172857E-3</v>
      </c>
      <c r="N60" s="18">
        <f t="shared" ref="N60:N67" si="44">F60/E60-1</f>
        <v>0.16590230340137424</v>
      </c>
      <c r="O60" s="18">
        <f t="shared" ref="O60:O67" si="45">G60/F60-1</f>
        <v>8.2719013385326168E-2</v>
      </c>
      <c r="P60" s="18">
        <f t="shared" ref="P60:P67" si="46">H60/G60-1</f>
        <v>9.0230905140832984E-2</v>
      </c>
      <c r="Q60" s="18">
        <f t="shared" ref="Q60:R67" si="47">I60/H60-1</f>
        <v>0.12246658929539267</v>
      </c>
      <c r="R60" s="18">
        <f t="shared" si="47"/>
        <v>0.26603512257870832</v>
      </c>
      <c r="S60" s="25">
        <f>AVERAGE(L60:R60)</f>
        <v>0.11562216538838142</v>
      </c>
    </row>
    <row r="61" spans="2:21" x14ac:dyDescent="0.25">
      <c r="B61" s="19" t="s">
        <v>4</v>
      </c>
      <c r="C61" s="20">
        <f>C34</f>
        <v>23348.188000000002</v>
      </c>
      <c r="D61" s="20">
        <f t="shared" ref="D61:I61" si="48">D34</f>
        <v>26456.918400000002</v>
      </c>
      <c r="E61" s="20">
        <f t="shared" si="48"/>
        <v>26848.0232</v>
      </c>
      <c r="F61" s="20">
        <f t="shared" si="48"/>
        <v>32281.848000000002</v>
      </c>
      <c r="G61" s="20">
        <f t="shared" si="48"/>
        <v>35557.739200000004</v>
      </c>
      <c r="H61" s="20">
        <f t="shared" si="48"/>
        <v>40011.966</v>
      </c>
      <c r="I61" s="20">
        <f t="shared" si="48"/>
        <v>45232.646400000005</v>
      </c>
      <c r="J61" s="20">
        <f t="shared" ref="J61" si="49">J34</f>
        <v>59300</v>
      </c>
      <c r="K61" s="21"/>
      <c r="L61" s="18">
        <f t="shared" si="42"/>
        <v>0.13314653796688636</v>
      </c>
      <c r="M61" s="18">
        <f t="shared" si="43"/>
        <v>1.4782704247218614E-2</v>
      </c>
      <c r="N61" s="18">
        <f t="shared" si="44"/>
        <v>0.20239198839786465</v>
      </c>
      <c r="O61" s="18">
        <f t="shared" si="45"/>
        <v>0.10147780882928403</v>
      </c>
      <c r="P61" s="18">
        <f t="shared" si="46"/>
        <v>0.12526743545045171</v>
      </c>
      <c r="Q61" s="18">
        <f t="shared" ref="Q61:Q63" si="50">I61/H61-1</f>
        <v>0.13047797751302714</v>
      </c>
      <c r="R61" s="18">
        <f t="shared" ref="R61:R63" si="51">J61/I61-1</f>
        <v>0.3110000125926744</v>
      </c>
      <c r="S61" s="25">
        <f t="shared" ref="S61:S62" si="52">AVERAGE(L61:R61)</f>
        <v>0.14550635214248669</v>
      </c>
    </row>
    <row r="62" spans="2:21" x14ac:dyDescent="0.25">
      <c r="B62" s="19" t="s">
        <v>5</v>
      </c>
      <c r="C62" s="20">
        <f>C35</f>
        <v>17834.838600000003</v>
      </c>
      <c r="D62" s="20">
        <f t="shared" ref="D62:I62" si="53">D35</f>
        <v>20276.956400000003</v>
      </c>
      <c r="E62" s="20">
        <f t="shared" si="53"/>
        <v>20816.569599999999</v>
      </c>
      <c r="F62" s="20">
        <f t="shared" si="53"/>
        <v>25540.7922</v>
      </c>
      <c r="G62" s="20">
        <f t="shared" si="53"/>
        <v>28464.509600000001</v>
      </c>
      <c r="H62" s="20">
        <f t="shared" si="53"/>
        <v>31443.622200000002</v>
      </c>
      <c r="I62" s="20">
        <f t="shared" si="53"/>
        <v>35800.552800000005</v>
      </c>
      <c r="J62" s="20">
        <f t="shared" ref="J62" si="54">J35</f>
        <v>45554</v>
      </c>
      <c r="K62" s="21"/>
      <c r="L62" s="18">
        <f t="shared" si="42"/>
        <v>0.13692962716242363</v>
      </c>
      <c r="M62" s="18">
        <f t="shared" si="43"/>
        <v>2.661213987716593E-2</v>
      </c>
      <c r="N62" s="18">
        <f t="shared" si="44"/>
        <v>0.22694529842227218</v>
      </c>
      <c r="O62" s="18">
        <f t="shared" si="45"/>
        <v>0.11447246338741213</v>
      </c>
      <c r="P62" s="18">
        <f t="shared" si="46"/>
        <v>0.1046605981225126</v>
      </c>
      <c r="Q62" s="18">
        <f t="shared" si="50"/>
        <v>0.13856325369537115</v>
      </c>
      <c r="R62" s="18">
        <f t="shared" si="51"/>
        <v>0.27243845240289111</v>
      </c>
      <c r="S62" s="25">
        <f t="shared" si="52"/>
        <v>0.14580311901000695</v>
      </c>
    </row>
    <row r="63" spans="2:21" x14ac:dyDescent="0.25">
      <c r="B63" s="1" t="s">
        <v>6</v>
      </c>
      <c r="C63" s="2">
        <f t="shared" ref="C63:I67" si="55">C36</f>
        <v>5511.8508000000002</v>
      </c>
      <c r="D63" s="2">
        <f t="shared" si="55"/>
        <v>6178.5096000000003</v>
      </c>
      <c r="E63" s="2">
        <f t="shared" si="55"/>
        <v>6031.4535999999998</v>
      </c>
      <c r="F63" s="2">
        <f t="shared" si="55"/>
        <v>6739.7499000000007</v>
      </c>
      <c r="G63" s="2">
        <f t="shared" si="55"/>
        <v>7093.2295999999997</v>
      </c>
      <c r="H63" s="2">
        <f t="shared" si="55"/>
        <v>8567.1080999999995</v>
      </c>
      <c r="I63" s="2">
        <f t="shared" si="55"/>
        <v>9432.0936000000002</v>
      </c>
      <c r="J63" s="2">
        <f t="shared" ref="J63" si="56">J36</f>
        <v>13746</v>
      </c>
      <c r="L63" s="34">
        <f t="shared" si="42"/>
        <v>0.12095008086938774</v>
      </c>
      <c r="M63" s="34">
        <f t="shared" si="43"/>
        <v>-2.3801209275453816E-2</v>
      </c>
      <c r="N63" s="34">
        <f t="shared" si="44"/>
        <v>0.11743376422559249</v>
      </c>
      <c r="O63" s="34">
        <f t="shared" si="45"/>
        <v>5.2447005489031362E-2</v>
      </c>
      <c r="P63" s="34">
        <f t="shared" si="46"/>
        <v>0.20778666180494132</v>
      </c>
      <c r="Q63" s="34">
        <f t="shared" si="50"/>
        <v>0.10096586735026736</v>
      </c>
      <c r="R63" s="34">
        <f t="shared" si="51"/>
        <v>0.45736467246253798</v>
      </c>
      <c r="S63" s="49">
        <f>AVERAGE(L63:R63)</f>
        <v>0.14759240613232921</v>
      </c>
    </row>
    <row r="64" spans="2:21" x14ac:dyDescent="0.25">
      <c r="B64" s="1" t="s">
        <v>9</v>
      </c>
      <c r="C64" s="2">
        <f t="shared" si="55"/>
        <v>813.73980000000006</v>
      </c>
      <c r="D64" s="2">
        <f t="shared" si="55"/>
        <v>939.70280000000014</v>
      </c>
      <c r="E64" s="2">
        <f t="shared" si="55"/>
        <v>917.4144</v>
      </c>
      <c r="F64" s="2">
        <f t="shared" si="55"/>
        <v>2635.3062</v>
      </c>
      <c r="G64" s="2">
        <f t="shared" si="55"/>
        <v>2981.8024</v>
      </c>
      <c r="H64" s="2">
        <f t="shared" si="55"/>
        <v>2849.5241999999998</v>
      </c>
      <c r="I64" s="2">
        <f t="shared" si="55"/>
        <v>2865.8556000000003</v>
      </c>
      <c r="J64" s="2">
        <f t="shared" ref="J64" si="57">J37</f>
        <v>3382</v>
      </c>
      <c r="L64" s="34">
        <f t="shared" si="42"/>
        <v>0.15479518145726678</v>
      </c>
      <c r="M64" s="34">
        <f t="shared" si="43"/>
        <v>-2.371856293287633E-2</v>
      </c>
      <c r="N64" s="34">
        <f t="shared" si="44"/>
        <v>1.8725363369051107</v>
      </c>
      <c r="O64" s="34">
        <f t="shared" si="45"/>
        <v>0.13148233021270928</v>
      </c>
      <c r="P64" s="34">
        <f t="shared" si="46"/>
        <v>-4.4361826256495096E-2</v>
      </c>
      <c r="Q64" s="34">
        <f t="shared" si="47"/>
        <v>5.731272610353777E-3</v>
      </c>
      <c r="R64" s="34">
        <f t="shared" si="47"/>
        <v>0.18010132820369584</v>
      </c>
      <c r="S64" s="49">
        <f t="shared" ref="S64:S67" si="58">AVERAGE(L64:R64)</f>
        <v>0.32522372288568074</v>
      </c>
    </row>
    <row r="65" spans="2:20" x14ac:dyDescent="0.25">
      <c r="B65" s="1" t="s">
        <v>7</v>
      </c>
      <c r="C65" s="2">
        <f t="shared" si="55"/>
        <v>-52.451000000000008</v>
      </c>
      <c r="D65" s="2">
        <f t="shared" si="55"/>
        <v>-98.763200000000012</v>
      </c>
      <c r="E65" s="2">
        <f t="shared" si="55"/>
        <v>-98.294399999999996</v>
      </c>
      <c r="F65" s="2">
        <f t="shared" si="55"/>
        <v>-114.9192</v>
      </c>
      <c r="G65" s="2">
        <f t="shared" si="55"/>
        <v>-80.142300000000006</v>
      </c>
      <c r="H65" s="2">
        <f t="shared" si="55"/>
        <v>-168.05520000000001</v>
      </c>
      <c r="I65" s="2">
        <f t="shared" si="55"/>
        <v>-145.55700000000002</v>
      </c>
      <c r="J65" s="2">
        <f t="shared" ref="J65" si="59">J38</f>
        <v>-269</v>
      </c>
      <c r="L65" s="34">
        <f t="shared" si="42"/>
        <v>0.88296124001448972</v>
      </c>
      <c r="M65" s="34">
        <f t="shared" si="43"/>
        <v>-4.7467072755845718E-3</v>
      </c>
      <c r="N65" s="34">
        <f t="shared" si="44"/>
        <v>0.16913272780544975</v>
      </c>
      <c r="O65" s="34">
        <f t="shared" si="45"/>
        <v>-0.30262044984650083</v>
      </c>
      <c r="P65" s="34">
        <f t="shared" si="46"/>
        <v>1.0969600323424706</v>
      </c>
      <c r="Q65" s="34">
        <f t="shared" si="47"/>
        <v>-0.1338738700141382</v>
      </c>
      <c r="R65" s="34">
        <f t="shared" si="47"/>
        <v>0.84807326339509581</v>
      </c>
      <c r="S65" s="79">
        <f t="shared" si="58"/>
        <v>0.3651266052030403</v>
      </c>
    </row>
    <row r="66" spans="2:20" x14ac:dyDescent="0.25">
      <c r="B66" s="1" t="s">
        <v>8</v>
      </c>
      <c r="C66" s="2">
        <f t="shared" si="55"/>
        <v>7.4930000000000003</v>
      </c>
      <c r="D66" s="2">
        <f t="shared" si="55"/>
        <v>13.071600000000002</v>
      </c>
      <c r="E66" s="2">
        <f t="shared" si="55"/>
        <v>-49.147199999999998</v>
      </c>
      <c r="F66" s="2">
        <f t="shared" si="55"/>
        <v>10.4472</v>
      </c>
      <c r="G66" s="2">
        <f t="shared" si="55"/>
        <v>-71.2376</v>
      </c>
      <c r="H66" s="2">
        <f t="shared" si="55"/>
        <v>12.356999999999999</v>
      </c>
      <c r="I66" s="2">
        <f t="shared" si="55"/>
        <v>-26.955000000000002</v>
      </c>
      <c r="J66" s="2">
        <f t="shared" ref="J66" si="60">J39</f>
        <v>-50</v>
      </c>
      <c r="L66" s="34">
        <f t="shared" si="42"/>
        <v>0.7445082076604832</v>
      </c>
      <c r="M66" s="34">
        <f t="shared" si="43"/>
        <v>-4.7598457725144581</v>
      </c>
      <c r="N66" s="34">
        <f t="shared" si="44"/>
        <v>-1.2125695868737181</v>
      </c>
      <c r="O66" s="34">
        <f t="shared" si="45"/>
        <v>-7.8188222681675468</v>
      </c>
      <c r="P66" s="34">
        <f t="shared" si="46"/>
        <v>-1.1734617673812706</v>
      </c>
      <c r="Q66" s="34">
        <f t="shared" si="47"/>
        <v>-3.1813546977421705</v>
      </c>
      <c r="R66" s="34">
        <f t="shared" si="47"/>
        <v>0.85494342422556091</v>
      </c>
      <c r="S66" s="49">
        <f t="shared" si="58"/>
        <v>-2.3638003515418746</v>
      </c>
    </row>
    <row r="67" spans="2:20" x14ac:dyDescent="0.25">
      <c r="B67" s="1" t="s">
        <v>22</v>
      </c>
      <c r="C67" s="2">
        <f t="shared" si="55"/>
        <v>788.26360000000011</v>
      </c>
      <c r="D67" s="2">
        <f t="shared" si="55"/>
        <v>861.27320000000009</v>
      </c>
      <c r="E67" s="2">
        <f t="shared" si="55"/>
        <v>842.32839999999999</v>
      </c>
      <c r="F67" s="2">
        <f t="shared" si="55"/>
        <v>1030.3551</v>
      </c>
      <c r="G67" s="2">
        <f t="shared" si="55"/>
        <v>1125.8085000000001</v>
      </c>
      <c r="H67" s="2">
        <f t="shared" si="55"/>
        <v>1243.1142</v>
      </c>
      <c r="I67" s="2">
        <f t="shared" si="55"/>
        <v>1462.0392000000002</v>
      </c>
      <c r="J67" s="2">
        <f t="shared" ref="J67" si="61">J40</f>
        <v>2049</v>
      </c>
      <c r="L67" s="34">
        <f t="shared" si="42"/>
        <v>9.2620793348823893E-2</v>
      </c>
      <c r="M67" s="34">
        <f t="shared" si="43"/>
        <v>-2.1996272495185099E-2</v>
      </c>
      <c r="N67" s="34">
        <f t="shared" si="44"/>
        <v>0.22322255785273293</v>
      </c>
      <c r="O67" s="34">
        <f t="shared" si="45"/>
        <v>9.264126513276838E-2</v>
      </c>
      <c r="P67" s="34">
        <f t="shared" si="46"/>
        <v>0.10419685053008565</v>
      </c>
      <c r="Q67" s="34">
        <f t="shared" si="47"/>
        <v>0.17611012729160369</v>
      </c>
      <c r="R67" s="34">
        <f t="shared" si="47"/>
        <v>0.40146721100227656</v>
      </c>
      <c r="S67" s="49">
        <f t="shared" si="58"/>
        <v>0.15260893323758656</v>
      </c>
    </row>
    <row r="69" spans="2:20" x14ac:dyDescent="0.25">
      <c r="L69" s="30" t="s">
        <v>167</v>
      </c>
    </row>
    <row r="70" spans="2:20" x14ac:dyDescent="0.25">
      <c r="L70" s="30" t="s">
        <v>168</v>
      </c>
    </row>
    <row r="71" spans="2:20" x14ac:dyDescent="0.25">
      <c r="S71" s="49"/>
    </row>
    <row r="73" spans="2:20" x14ac:dyDescent="0.25">
      <c r="S73" s="49"/>
      <c r="T73" s="49"/>
    </row>
    <row r="75" spans="2:20" x14ac:dyDescent="0.25">
      <c r="B75" s="30" t="s">
        <v>175</v>
      </c>
    </row>
    <row r="76" spans="2:20" x14ac:dyDescent="0.25">
      <c r="B76" s="30" t="s">
        <v>205</v>
      </c>
      <c r="C76" s="30">
        <f t="shared" ref="C76:I76" si="62">C58</f>
        <v>2015</v>
      </c>
      <c r="D76" s="30">
        <f t="shared" si="62"/>
        <v>2016</v>
      </c>
      <c r="E76" s="30">
        <f t="shared" si="62"/>
        <v>2017</v>
      </c>
      <c r="F76" s="30">
        <f t="shared" si="62"/>
        <v>2018</v>
      </c>
      <c r="G76" s="30">
        <f t="shared" si="62"/>
        <v>2019</v>
      </c>
      <c r="H76" s="30">
        <f t="shared" si="62"/>
        <v>2020</v>
      </c>
      <c r="I76" s="30">
        <f t="shared" si="62"/>
        <v>2021</v>
      </c>
      <c r="J76" s="30">
        <f>J58</f>
        <v>2022</v>
      </c>
    </row>
    <row r="77" spans="2:20" x14ac:dyDescent="0.25">
      <c r="B77" s="30" t="s">
        <v>217</v>
      </c>
    </row>
    <row r="78" spans="2:20" x14ac:dyDescent="0.25">
      <c r="B78" s="30" t="s">
        <v>218</v>
      </c>
      <c r="H78" s="30">
        <v>82536</v>
      </c>
      <c r="I78" s="30">
        <v>90258</v>
      </c>
      <c r="J78" s="30">
        <v>104740</v>
      </c>
    </row>
    <row r="79" spans="2:20" x14ac:dyDescent="0.25">
      <c r="B79" s="30" t="s">
        <v>219</v>
      </c>
      <c r="H79" s="30">
        <v>62899</v>
      </c>
      <c r="I79" s="30">
        <v>97299</v>
      </c>
      <c r="J79" s="30">
        <v>153439</v>
      </c>
    </row>
    <row r="80" spans="2:20" x14ac:dyDescent="0.25">
      <c r="B80" s="30" t="s">
        <v>220</v>
      </c>
      <c r="H80" s="30">
        <v>852</v>
      </c>
      <c r="I80" s="30">
        <v>930</v>
      </c>
      <c r="J80" s="30">
        <v>1147</v>
      </c>
    </row>
    <row r="81" spans="2:28" x14ac:dyDescent="0.25">
      <c r="B81" s="30" t="s">
        <v>221</v>
      </c>
      <c r="H81" s="30">
        <f>SUM(H78:H80)</f>
        <v>146287</v>
      </c>
      <c r="I81" s="30">
        <f t="shared" ref="I81" si="63">SUM(I78:I80)</f>
        <v>188487</v>
      </c>
      <c r="J81" s="30">
        <f>SUM(J78:J80)</f>
        <v>259326</v>
      </c>
    </row>
    <row r="82" spans="2:28" x14ac:dyDescent="0.25">
      <c r="H82" s="30" t="e">
        <f>H81/G81-1</f>
        <v>#DIV/0!</v>
      </c>
      <c r="I82" s="30">
        <f t="shared" ref="I82:J82" si="64">I81/H81-1</f>
        <v>0.28847402708374625</v>
      </c>
      <c r="J82" s="30">
        <f t="shared" si="64"/>
        <v>0.37582963281287296</v>
      </c>
    </row>
    <row r="84" spans="2:28" x14ac:dyDescent="0.25">
      <c r="B84" s="30" t="str">
        <f>B75</f>
        <v>Ingresos</v>
      </c>
    </row>
    <row r="85" spans="2:28" x14ac:dyDescent="0.25">
      <c r="B85" s="38" t="str">
        <f t="shared" ref="B85:J90" si="65">B76</f>
        <v>Periodo</v>
      </c>
      <c r="C85" s="6">
        <f t="shared" si="65"/>
        <v>2015</v>
      </c>
      <c r="D85" s="6">
        <f t="shared" si="65"/>
        <v>2016</v>
      </c>
      <c r="E85" s="6">
        <f t="shared" si="65"/>
        <v>2017</v>
      </c>
      <c r="F85" s="6">
        <f t="shared" si="65"/>
        <v>2018</v>
      </c>
      <c r="G85" s="6">
        <f t="shared" si="65"/>
        <v>2019</v>
      </c>
      <c r="H85" s="6">
        <f t="shared" si="65"/>
        <v>2020</v>
      </c>
      <c r="I85" s="6">
        <f t="shared" si="65"/>
        <v>2021</v>
      </c>
      <c r="J85" s="6">
        <f t="shared" si="65"/>
        <v>2022</v>
      </c>
    </row>
    <row r="86" spans="2:28" x14ac:dyDescent="0.25">
      <c r="B86" s="30" t="str">
        <f t="shared" si="65"/>
        <v>Ingresos por segmento</v>
      </c>
      <c r="C86" s="2"/>
      <c r="D86" s="2"/>
      <c r="E86" s="2"/>
      <c r="F86" s="2"/>
      <c r="G86" s="2"/>
      <c r="H86" s="2"/>
      <c r="I86" s="2"/>
      <c r="J86" s="2"/>
      <c r="X86" s="70"/>
      <c r="Y86" s="70"/>
      <c r="Z86" s="70"/>
      <c r="AA86" s="70"/>
    </row>
    <row r="87" spans="2:28" x14ac:dyDescent="0.25">
      <c r="B87" s="30" t="str">
        <f t="shared" si="65"/>
        <v>Operaciones en México</v>
      </c>
      <c r="C87" s="2">
        <f t="shared" ref="C87:G87" si="66">IFERROR(C78*C$1,0)</f>
        <v>0</v>
      </c>
      <c r="D87" s="2">
        <f t="shared" si="66"/>
        <v>0</v>
      </c>
      <c r="E87" s="2">
        <f t="shared" si="66"/>
        <v>0</v>
      </c>
      <c r="F87" s="2">
        <f t="shared" si="66"/>
        <v>0</v>
      </c>
      <c r="G87" s="2">
        <f t="shared" si="66"/>
        <v>0</v>
      </c>
      <c r="H87" s="2">
        <f t="shared" ref="H87:I87" si="67">IFERROR(H78*H$1,0)</f>
        <v>101989.7352</v>
      </c>
      <c r="I87" s="2">
        <f t="shared" si="67"/>
        <v>97316.175600000002</v>
      </c>
      <c r="J87" s="2">
        <f>IFERROR(J78*J$1,0)</f>
        <v>104740</v>
      </c>
      <c r="AB87" s="70"/>
    </row>
    <row r="88" spans="2:28" x14ac:dyDescent="0.25">
      <c r="B88" s="30" t="str">
        <f t="shared" si="65"/>
        <v>Operaciones en Estados Unidos</v>
      </c>
      <c r="C88" s="2">
        <f t="shared" ref="C88:G88" si="68">IFERROR(C79*C$1,0)</f>
        <v>0</v>
      </c>
      <c r="D88" s="2">
        <f t="shared" si="68"/>
        <v>0</v>
      </c>
      <c r="E88" s="2">
        <f t="shared" si="68"/>
        <v>0</v>
      </c>
      <c r="F88" s="2">
        <f t="shared" si="68"/>
        <v>0</v>
      </c>
      <c r="G88" s="2">
        <f t="shared" si="68"/>
        <v>0</v>
      </c>
      <c r="H88" s="2">
        <f t="shared" ref="H88:I88" si="69">IFERROR(H79*H$1,0)</f>
        <v>77724.294299999994</v>
      </c>
      <c r="I88" s="2">
        <f t="shared" si="69"/>
        <v>104907.78180000001</v>
      </c>
      <c r="J88" s="2">
        <f t="shared" ref="J88:J89" si="70">IFERROR(J79*J$1,0)</f>
        <v>153439</v>
      </c>
    </row>
    <row r="89" spans="2:28" x14ac:dyDescent="0.25">
      <c r="B89" s="30" t="str">
        <f t="shared" si="65"/>
        <v>Segmento inmobiliario</v>
      </c>
      <c r="C89" s="2">
        <f t="shared" ref="C89:G89" si="71">IFERROR(C80*C$1,0)</f>
        <v>0</v>
      </c>
      <c r="D89" s="2">
        <f t="shared" si="71"/>
        <v>0</v>
      </c>
      <c r="E89" s="2">
        <f t="shared" si="71"/>
        <v>0</v>
      </c>
      <c r="F89" s="2">
        <f t="shared" si="71"/>
        <v>0</v>
      </c>
      <c r="G89" s="2">
        <f t="shared" si="71"/>
        <v>0</v>
      </c>
      <c r="H89" s="2">
        <f t="shared" ref="H89:I89" si="72">IFERROR(H80*H$1,0)</f>
        <v>1052.8163999999999</v>
      </c>
      <c r="I89" s="2">
        <f t="shared" si="72"/>
        <v>1002.726</v>
      </c>
      <c r="J89" s="2">
        <f t="shared" si="70"/>
        <v>1147</v>
      </c>
    </row>
    <row r="90" spans="2:28" x14ac:dyDescent="0.25">
      <c r="B90" s="35" t="str">
        <f t="shared" si="65"/>
        <v>Total de ingresos</v>
      </c>
      <c r="C90" s="11">
        <f t="shared" ref="C90" si="73">SUM(C87:C89)</f>
        <v>0</v>
      </c>
      <c r="D90" s="11">
        <f t="shared" ref="D90" si="74">SUM(D87:D89)</f>
        <v>0</v>
      </c>
      <c r="E90" s="11">
        <f t="shared" ref="E90" si="75">SUM(E87:E89)</f>
        <v>0</v>
      </c>
      <c r="F90" s="11">
        <f t="shared" ref="F90" si="76">SUM(F87:F89)</f>
        <v>0</v>
      </c>
      <c r="G90" s="11">
        <f t="shared" ref="G90" si="77">SUM(G87:G89)</f>
        <v>0</v>
      </c>
      <c r="H90" s="11">
        <f t="shared" ref="H90:I90" si="78">SUM(H87:H89)</f>
        <v>180766.84590000001</v>
      </c>
      <c r="I90" s="11">
        <f t="shared" si="78"/>
        <v>203226.68340000001</v>
      </c>
      <c r="J90" s="11">
        <f>SUM(J87:J89)</f>
        <v>259326</v>
      </c>
    </row>
    <row r="93" spans="2:28" x14ac:dyDescent="0.25">
      <c r="H93" s="30" t="e">
        <f>H87/G87-1</f>
        <v>#DIV/0!</v>
      </c>
      <c r="I93" s="30">
        <f t="shared" ref="I93:J93" si="79">I87/H87-1</f>
        <v>-4.5823823258637097E-2</v>
      </c>
      <c r="J93" s="30">
        <f t="shared" si="79"/>
        <v>7.6285615975233645E-2</v>
      </c>
    </row>
    <row r="94" spans="2:28" x14ac:dyDescent="0.25">
      <c r="H94" s="30" t="e">
        <f t="shared" ref="H94:J96" si="80">H88/G88-1</f>
        <v>#DIV/0!</v>
      </c>
      <c r="I94" s="30">
        <f t="shared" si="80"/>
        <v>0.34974248071107961</v>
      </c>
      <c r="J94" s="30">
        <f t="shared" si="80"/>
        <v>0.46260837248967523</v>
      </c>
    </row>
    <row r="95" spans="2:28" x14ac:dyDescent="0.25">
      <c r="H95" s="30" t="e">
        <f t="shared" si="80"/>
        <v>#DIV/0!</v>
      </c>
      <c r="I95" s="30">
        <f t="shared" si="80"/>
        <v>-4.7577526337925558E-2</v>
      </c>
      <c r="J95" s="30">
        <f t="shared" si="80"/>
        <v>0.14388177827242932</v>
      </c>
    </row>
    <row r="96" spans="2:28" x14ac:dyDescent="0.25">
      <c r="H96" s="35" t="e">
        <f t="shared" si="80"/>
        <v>#DIV/0!</v>
      </c>
      <c r="I96" s="35">
        <f t="shared" si="80"/>
        <v>0.124247548759161</v>
      </c>
      <c r="J96" s="35">
        <f t="shared" si="80"/>
        <v>0.27604306512045351</v>
      </c>
    </row>
  </sheetData>
  <mergeCells count="5">
    <mergeCell ref="L30:T30"/>
    <mergeCell ref="C57:I57"/>
    <mergeCell ref="C3:J3"/>
    <mergeCell ref="C30:J30"/>
    <mergeCell ref="L57:S5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BDB9-AF8D-4844-AFE0-B1F72A7FA963}">
  <dimension ref="A1:AC72"/>
  <sheetViews>
    <sheetView zoomScale="85" zoomScaleNormal="85" workbookViewId="0"/>
  </sheetViews>
  <sheetFormatPr defaultRowHeight="13.8" x14ac:dyDescent="0.25"/>
  <cols>
    <col min="1" max="1" width="10.88671875" style="30" bestFit="1" customWidth="1"/>
    <col min="2" max="2" width="58.33203125" style="30" customWidth="1"/>
    <col min="3" max="3" width="11.6640625" style="30" customWidth="1"/>
    <col min="4" max="7" width="11.6640625" style="30" bestFit="1" customWidth="1"/>
    <col min="8" max="8" width="12.109375" style="30" bestFit="1" customWidth="1"/>
    <col min="9" max="9" width="12.77734375" style="30" bestFit="1" customWidth="1"/>
    <col min="10" max="10" width="12.77734375" style="30" customWidth="1"/>
    <col min="11" max="11" width="3.77734375" style="30" customWidth="1"/>
    <col min="12" max="13" width="10.77734375" style="30" hidden="1" customWidth="1"/>
    <col min="14" max="16" width="10.5546875" style="30" hidden="1" customWidth="1"/>
    <col min="17" max="17" width="11" style="30" hidden="1" customWidth="1"/>
    <col min="18" max="19" width="11.6640625" style="30" hidden="1" customWidth="1"/>
    <col min="20" max="27" width="8.88671875" style="30"/>
    <col min="28" max="28" width="11" style="30" bestFit="1" customWidth="1"/>
    <col min="29" max="29" width="9.6640625" style="30" customWidth="1"/>
    <col min="30" max="16384" width="8.88671875" style="30"/>
  </cols>
  <sheetData>
    <row r="1" spans="1:28" x14ac:dyDescent="0.25">
      <c r="B1" s="69" t="s">
        <v>149</v>
      </c>
      <c r="C1" s="36">
        <f>I1+42.04%</f>
        <v>1.4986000000000002</v>
      </c>
      <c r="D1" s="36">
        <f>I1+37.42%</f>
        <v>1.4524000000000001</v>
      </c>
      <c r="E1" s="36">
        <f>I1+28.7%</f>
        <v>1.3652</v>
      </c>
      <c r="F1" s="36">
        <f>I1+22.77%</f>
        <v>1.3059000000000001</v>
      </c>
      <c r="G1" s="36">
        <f>I1+19.39%</f>
        <v>1.2721</v>
      </c>
      <c r="H1" s="36">
        <f>I1+15.75%</f>
        <v>1.2357</v>
      </c>
      <c r="I1" s="36">
        <f>J1+7.82%</f>
        <v>1.0782</v>
      </c>
      <c r="J1" s="37">
        <v>1</v>
      </c>
    </row>
    <row r="2" spans="1:28" x14ac:dyDescent="0.25">
      <c r="B2" s="38"/>
      <c r="C2" s="39"/>
      <c r="D2" s="39"/>
      <c r="E2" s="39"/>
      <c r="F2" s="39"/>
      <c r="G2" s="39"/>
      <c r="H2" s="39"/>
      <c r="I2" s="39"/>
      <c r="J2" s="39"/>
    </row>
    <row r="3" spans="1:28" x14ac:dyDescent="0.25">
      <c r="B3" s="38"/>
      <c r="C3" s="39"/>
      <c r="D3" s="39"/>
      <c r="E3" s="39"/>
      <c r="F3" s="39"/>
      <c r="G3" s="39"/>
      <c r="H3" s="39"/>
      <c r="I3" s="39"/>
      <c r="J3" s="39"/>
    </row>
    <row r="5" spans="1:28" ht="18.600000000000001" x14ac:dyDescent="0.35">
      <c r="B5" s="4" t="s">
        <v>74</v>
      </c>
      <c r="C5" s="211" t="s">
        <v>2</v>
      </c>
      <c r="D5" s="211"/>
      <c r="E5" s="211"/>
      <c r="F5" s="211"/>
      <c r="G5" s="211"/>
      <c r="H5" s="211"/>
      <c r="I5" s="211"/>
      <c r="J5" s="211"/>
      <c r="L5" s="212" t="s">
        <v>76</v>
      </c>
      <c r="M5" s="212"/>
      <c r="N5" s="212"/>
      <c r="O5" s="212"/>
      <c r="P5" s="212"/>
      <c r="Q5" s="212"/>
      <c r="R5" s="212"/>
      <c r="S5" s="212"/>
      <c r="T5" s="208" t="s">
        <v>112</v>
      </c>
      <c r="U5" s="208"/>
      <c r="V5" s="208"/>
      <c r="W5" s="208"/>
      <c r="X5" s="208"/>
      <c r="Y5" s="208"/>
      <c r="Z5" s="208"/>
      <c r="AA5" s="208"/>
      <c r="AB5" s="208"/>
    </row>
    <row r="6" spans="1:28" x14ac:dyDescent="0.25">
      <c r="A6" s="67">
        <f>10^3</f>
        <v>1000</v>
      </c>
      <c r="B6" s="5" t="s">
        <v>66</v>
      </c>
      <c r="C6" s="71">
        <v>2015</v>
      </c>
      <c r="D6" s="71">
        <v>2016</v>
      </c>
      <c r="E6" s="71">
        <v>2017</v>
      </c>
      <c r="F6" s="71">
        <v>2018</v>
      </c>
      <c r="G6" s="71">
        <v>2019</v>
      </c>
      <c r="H6" s="71">
        <v>2020</v>
      </c>
      <c r="I6" s="71">
        <v>2021</v>
      </c>
      <c r="J6" s="71">
        <v>2022</v>
      </c>
      <c r="K6" s="39"/>
      <c r="L6" s="84">
        <v>2015</v>
      </c>
      <c r="M6" s="84">
        <v>2016</v>
      </c>
      <c r="N6" s="84">
        <v>2017</v>
      </c>
      <c r="O6" s="84">
        <v>2018</v>
      </c>
      <c r="P6" s="84">
        <v>2019</v>
      </c>
      <c r="Q6" s="84">
        <v>2020</v>
      </c>
      <c r="R6" s="84">
        <v>2021</v>
      </c>
      <c r="S6" s="84">
        <v>2022</v>
      </c>
      <c r="T6" s="84">
        <f t="shared" ref="T6:AA6" si="0">C6</f>
        <v>2015</v>
      </c>
      <c r="U6" s="84">
        <f t="shared" si="0"/>
        <v>2016</v>
      </c>
      <c r="V6" s="84">
        <f t="shared" si="0"/>
        <v>2017</v>
      </c>
      <c r="W6" s="84">
        <f t="shared" si="0"/>
        <v>2018</v>
      </c>
      <c r="X6" s="84">
        <f t="shared" si="0"/>
        <v>2019</v>
      </c>
      <c r="Y6" s="84">
        <f t="shared" si="0"/>
        <v>2020</v>
      </c>
      <c r="Z6" s="84">
        <f t="shared" si="0"/>
        <v>2021</v>
      </c>
      <c r="AA6" s="84">
        <f t="shared" si="0"/>
        <v>2022</v>
      </c>
      <c r="AB6" s="84" t="s">
        <v>131</v>
      </c>
    </row>
    <row r="7" spans="1:28" x14ac:dyDescent="0.25">
      <c r="A7" s="68"/>
      <c r="B7" s="3" t="s">
        <v>137</v>
      </c>
      <c r="C7" s="59"/>
      <c r="D7" s="59"/>
      <c r="E7" s="59"/>
      <c r="F7" s="59"/>
      <c r="G7" s="59"/>
      <c r="H7" s="59"/>
      <c r="I7" s="59"/>
      <c r="J7" s="59"/>
      <c r="L7" s="41"/>
      <c r="M7" s="41"/>
      <c r="N7" s="41"/>
      <c r="O7" s="41"/>
      <c r="P7" s="41"/>
      <c r="Q7" s="41"/>
      <c r="R7" s="41"/>
      <c r="S7" s="41"/>
    </row>
    <row r="8" spans="1:28" x14ac:dyDescent="0.25">
      <c r="B8" s="3" t="s">
        <v>77</v>
      </c>
      <c r="C8" s="59">
        <f t="shared" ref="C8:J8" si="1">IFERROR(L8/$A$6*C$1,0)</f>
        <v>3955.0931312000002</v>
      </c>
      <c r="D8" s="59">
        <f t="shared" si="1"/>
        <v>4462.920196</v>
      </c>
      <c r="E8" s="59">
        <f t="shared" si="1"/>
        <v>4419.8977992</v>
      </c>
      <c r="F8" s="59">
        <f t="shared" si="1"/>
        <v>3179.5269659999999</v>
      </c>
      <c r="G8" s="59">
        <f t="shared" si="1"/>
        <v>3135.879152</v>
      </c>
      <c r="H8" s="59">
        <f t="shared" si="1"/>
        <v>4630.8475349999999</v>
      </c>
      <c r="I8" s="59">
        <f t="shared" si="1"/>
        <v>5336.5778549999995</v>
      </c>
      <c r="J8" s="59">
        <f t="shared" si="1"/>
        <v>8722.1509999999998</v>
      </c>
      <c r="L8" s="29">
        <v>2639192</v>
      </c>
      <c r="M8" s="29">
        <v>3072790</v>
      </c>
      <c r="N8" s="29">
        <v>3237546</v>
      </c>
      <c r="O8" s="29">
        <v>2434740</v>
      </c>
      <c r="P8" s="29">
        <v>2465120</v>
      </c>
      <c r="Q8" s="29">
        <v>3747550</v>
      </c>
      <c r="R8" s="29">
        <v>4949525</v>
      </c>
      <c r="S8" s="29">
        <v>8722151</v>
      </c>
      <c r="T8" s="32">
        <f t="shared" ref="T8:AA8" si="2">C8/C$58</f>
        <v>2.0780843015656547</v>
      </c>
      <c r="U8" s="32">
        <f t="shared" si="2"/>
        <v>-2.8933747265795295</v>
      </c>
      <c r="V8" s="32">
        <f t="shared" si="2"/>
        <v>5.6997042357663465</v>
      </c>
      <c r="W8" s="32">
        <f t="shared" si="2"/>
        <v>-25.037689088160587</v>
      </c>
      <c r="X8" s="32">
        <f t="shared" si="2"/>
        <v>-6.6694623836282814</v>
      </c>
      <c r="Y8" s="32">
        <f t="shared" si="2"/>
        <v>0.8313550784968412</v>
      </c>
      <c r="Z8" s="32">
        <f t="shared" si="2"/>
        <v>1.2345365691106265</v>
      </c>
      <c r="AA8" s="32">
        <f t="shared" si="2"/>
        <v>3.4291344789531766</v>
      </c>
    </row>
    <row r="9" spans="1:28" x14ac:dyDescent="0.25">
      <c r="B9" s="3" t="s">
        <v>78</v>
      </c>
      <c r="C9" s="59"/>
      <c r="D9" s="59"/>
      <c r="E9" s="59"/>
      <c r="F9" s="59"/>
      <c r="G9" s="59"/>
      <c r="H9" s="59"/>
      <c r="I9" s="59"/>
      <c r="J9" s="59"/>
      <c r="L9" s="29"/>
      <c r="M9" s="29"/>
      <c r="N9" s="29"/>
      <c r="O9" s="29"/>
      <c r="P9" s="29"/>
      <c r="Q9" s="29"/>
      <c r="R9" s="29"/>
      <c r="S9" s="29"/>
      <c r="T9" s="32">
        <f t="shared" ref="T9:T58" si="3">C9/C$58</f>
        <v>0</v>
      </c>
      <c r="U9" s="32">
        <f t="shared" ref="U9:U58" si="4">D9/D$58</f>
        <v>0</v>
      </c>
      <c r="V9" s="32">
        <f t="shared" ref="V9:V58" si="5">E9/E$58</f>
        <v>0</v>
      </c>
      <c r="W9" s="32">
        <f t="shared" ref="W9:W58" si="6">F9/F$58</f>
        <v>0</v>
      </c>
      <c r="X9" s="32">
        <f t="shared" ref="X9:X58" si="7">G9/G$58</f>
        <v>0</v>
      </c>
      <c r="Y9" s="32">
        <f t="shared" ref="Y9:Y58" si="8">H9/H$58</f>
        <v>0</v>
      </c>
      <c r="Z9" s="32">
        <f t="shared" ref="Z9:Z20" si="9">I9/I$58</f>
        <v>0</v>
      </c>
      <c r="AA9" s="32">
        <f t="shared" ref="AA9:AA20" si="10">J9/J$58</f>
        <v>0</v>
      </c>
    </row>
    <row r="10" spans="1:28" x14ac:dyDescent="0.25">
      <c r="B10" s="73" t="s">
        <v>79</v>
      </c>
      <c r="C10" s="74">
        <f t="shared" ref="C10:C19" si="11">IFERROR(L10/$A$6*C$1,0)</f>
        <v>1982.3915394000001</v>
      </c>
      <c r="D10" s="74">
        <f t="shared" ref="D10:D19" si="12">IFERROR(M10/$A$6*D$1,0)</f>
        <v>2218.6165248000002</v>
      </c>
      <c r="E10" s="74">
        <f t="shared" ref="E10:E19" si="13">IFERROR(N10/$A$6*E$1,0)</f>
        <v>2234.3218151999999</v>
      </c>
      <c r="F10" s="74">
        <f t="shared" ref="F10:F19" si="14">IFERROR(O10/$A$6*F$1,0)</f>
        <v>3986.5313772000004</v>
      </c>
      <c r="G10" s="74">
        <f t="shared" ref="G10:G19" si="15">IFERROR(P10/$A$6*G$1,0)</f>
        <v>4516.0325981000005</v>
      </c>
      <c r="H10" s="74">
        <f t="shared" ref="H10:H19" si="16">IFERROR(Q10/$A$6*H$1,0)</f>
        <v>4694.2438878000003</v>
      </c>
      <c r="I10" s="74">
        <f t="shared" ref="I10:J19" si="17">IFERROR(R10/$A$6*I$1,0)</f>
        <v>5822.5366116000005</v>
      </c>
      <c r="J10" s="74">
        <f t="shared" si="17"/>
        <v>7680.74</v>
      </c>
      <c r="K10" s="21"/>
      <c r="L10" s="20">
        <v>1322829</v>
      </c>
      <c r="M10" s="20">
        <v>1527552</v>
      </c>
      <c r="N10" s="20">
        <v>1636626</v>
      </c>
      <c r="O10" s="20">
        <v>3052708</v>
      </c>
      <c r="P10" s="20">
        <v>3550061</v>
      </c>
      <c r="Q10" s="20">
        <v>3798854</v>
      </c>
      <c r="R10" s="20">
        <v>5400238</v>
      </c>
      <c r="S10" s="20">
        <v>7680740</v>
      </c>
      <c r="T10" s="26">
        <f t="shared" si="3"/>
        <v>1.0415877960208251</v>
      </c>
      <c r="U10" s="26">
        <f t="shared" si="4"/>
        <v>-1.4383606918585434</v>
      </c>
      <c r="V10" s="26">
        <f t="shared" si="5"/>
        <v>2.8812823492130559</v>
      </c>
      <c r="W10" s="26">
        <f t="shared" si="6"/>
        <v>-31.392573244346639</v>
      </c>
      <c r="X10" s="26">
        <f t="shared" si="7"/>
        <v>-9.6048055669037637</v>
      </c>
      <c r="Y10" s="26">
        <f t="shared" si="8"/>
        <v>0.84273633850596774</v>
      </c>
      <c r="Z10" s="26">
        <f t="shared" si="9"/>
        <v>1.346955777150501</v>
      </c>
      <c r="AA10" s="26">
        <f t="shared" si="10"/>
        <v>3.0197012592277779</v>
      </c>
      <c r="AB10" s="27">
        <f>AVERAGE(T10:AA10)</f>
        <v>-4.1629344978738523</v>
      </c>
    </row>
    <row r="11" spans="1:28" x14ac:dyDescent="0.25">
      <c r="B11" s="50" t="s">
        <v>138</v>
      </c>
      <c r="C11" s="59">
        <f t="shared" si="11"/>
        <v>0</v>
      </c>
      <c r="D11" s="59">
        <f t="shared" si="12"/>
        <v>0</v>
      </c>
      <c r="E11" s="59">
        <f t="shared" si="13"/>
        <v>0</v>
      </c>
      <c r="F11" s="59">
        <f t="shared" si="14"/>
        <v>-96.777637200000015</v>
      </c>
      <c r="G11" s="59">
        <f t="shared" si="15"/>
        <v>-7.4964852999999998</v>
      </c>
      <c r="H11" s="59">
        <f t="shared" si="16"/>
        <v>30.392041499999998</v>
      </c>
      <c r="I11" s="59">
        <f t="shared" si="17"/>
        <v>48.009011400000006</v>
      </c>
      <c r="J11" s="59">
        <f t="shared" si="17"/>
        <v>-230.89400000000001</v>
      </c>
      <c r="L11" s="29"/>
      <c r="M11" s="29"/>
      <c r="N11" s="29"/>
      <c r="O11" s="29">
        <v>-74108</v>
      </c>
      <c r="P11" s="29">
        <v>-5893</v>
      </c>
      <c r="Q11" s="29">
        <v>24595</v>
      </c>
      <c r="R11" s="29">
        <v>44527</v>
      </c>
      <c r="S11" s="29">
        <v>-230894</v>
      </c>
      <c r="T11" s="32">
        <f t="shared" si="3"/>
        <v>0</v>
      </c>
      <c r="U11" s="32">
        <f t="shared" si="4"/>
        <v>0</v>
      </c>
      <c r="V11" s="32">
        <f t="shared" si="5"/>
        <v>0</v>
      </c>
      <c r="W11" s="32">
        <f t="shared" si="6"/>
        <v>0.76209084458521448</v>
      </c>
      <c r="X11" s="32">
        <f t="shared" si="7"/>
        <v>1.5943703278834889E-2</v>
      </c>
      <c r="Y11" s="32">
        <f t="shared" si="8"/>
        <v>5.4561455232431345E-3</v>
      </c>
      <c r="Z11" s="32">
        <f t="shared" si="9"/>
        <v>1.110615863396768E-2</v>
      </c>
      <c r="AA11" s="32">
        <f t="shared" si="10"/>
        <v>-9.0776527072669894E-2</v>
      </c>
    </row>
    <row r="12" spans="1:28" x14ac:dyDescent="0.25">
      <c r="B12" s="50" t="s">
        <v>139</v>
      </c>
      <c r="C12" s="59">
        <f t="shared" si="11"/>
        <v>0</v>
      </c>
      <c r="D12" s="59">
        <f t="shared" si="12"/>
        <v>0</v>
      </c>
      <c r="E12" s="59">
        <f t="shared" si="13"/>
        <v>0</v>
      </c>
      <c r="F12" s="59">
        <f t="shared" si="14"/>
        <v>0</v>
      </c>
      <c r="G12" s="59">
        <f t="shared" si="15"/>
        <v>0</v>
      </c>
      <c r="H12" s="59">
        <f t="shared" si="16"/>
        <v>25.529562000000002</v>
      </c>
      <c r="I12" s="59">
        <f t="shared" si="17"/>
        <v>171.902817</v>
      </c>
      <c r="J12" s="59">
        <f t="shared" si="17"/>
        <v>48.47</v>
      </c>
      <c r="L12" s="29"/>
      <c r="M12" s="29"/>
      <c r="N12" s="29"/>
      <c r="O12" s="29"/>
      <c r="P12" s="29"/>
      <c r="Q12" s="29">
        <v>20660</v>
      </c>
      <c r="R12" s="29">
        <v>159435</v>
      </c>
      <c r="S12" s="29">
        <v>48470</v>
      </c>
      <c r="T12" s="32">
        <f t="shared" si="3"/>
        <v>0</v>
      </c>
      <c r="U12" s="32">
        <f t="shared" si="4"/>
        <v>0</v>
      </c>
      <c r="V12" s="32">
        <f t="shared" si="5"/>
        <v>0</v>
      </c>
      <c r="W12" s="32">
        <f t="shared" si="6"/>
        <v>0</v>
      </c>
      <c r="X12" s="32">
        <f t="shared" si="7"/>
        <v>0</v>
      </c>
      <c r="Y12" s="32">
        <f t="shared" si="8"/>
        <v>4.5832066074487973E-3</v>
      </c>
      <c r="Z12" s="32">
        <f t="shared" si="9"/>
        <v>3.9767116621524844E-2</v>
      </c>
      <c r="AA12" s="32">
        <f t="shared" si="10"/>
        <v>1.9056096161928458E-2</v>
      </c>
    </row>
    <row r="13" spans="1:28" x14ac:dyDescent="0.25">
      <c r="B13" s="50" t="s">
        <v>140</v>
      </c>
      <c r="C13" s="59">
        <f t="shared" si="11"/>
        <v>0</v>
      </c>
      <c r="D13" s="59">
        <f t="shared" si="12"/>
        <v>0</v>
      </c>
      <c r="E13" s="59">
        <f t="shared" si="13"/>
        <v>0</v>
      </c>
      <c r="F13" s="59">
        <f t="shared" si="14"/>
        <v>0</v>
      </c>
      <c r="G13" s="59">
        <f t="shared" si="15"/>
        <v>0</v>
      </c>
      <c r="H13" s="59">
        <f t="shared" si="16"/>
        <v>0</v>
      </c>
      <c r="I13" s="59">
        <f t="shared" si="17"/>
        <v>110.43894780000001</v>
      </c>
      <c r="J13" s="59">
        <f t="shared" si="17"/>
        <v>4.5919999999999996</v>
      </c>
      <c r="L13" s="29"/>
      <c r="M13" s="29"/>
      <c r="N13" s="29"/>
      <c r="O13" s="29"/>
      <c r="P13" s="29"/>
      <c r="Q13" s="30">
        <v>0</v>
      </c>
      <c r="R13" s="29">
        <v>102429</v>
      </c>
      <c r="S13" s="29">
        <v>4592</v>
      </c>
      <c r="T13" s="32">
        <f t="shared" si="3"/>
        <v>0</v>
      </c>
      <c r="U13" s="32">
        <f t="shared" si="4"/>
        <v>0</v>
      </c>
      <c r="V13" s="32">
        <f t="shared" si="5"/>
        <v>0</v>
      </c>
      <c r="W13" s="32">
        <f t="shared" si="6"/>
        <v>0</v>
      </c>
      <c r="X13" s="32">
        <f t="shared" si="7"/>
        <v>0</v>
      </c>
      <c r="Y13" s="32">
        <f t="shared" si="8"/>
        <v>0</v>
      </c>
      <c r="Z13" s="32">
        <f t="shared" si="9"/>
        <v>2.5548380145050766E-2</v>
      </c>
      <c r="AA13" s="32">
        <f t="shared" si="10"/>
        <v>1.8053557576970388E-3</v>
      </c>
    </row>
    <row r="14" spans="1:28" x14ac:dyDescent="0.25">
      <c r="B14" s="50" t="s">
        <v>141</v>
      </c>
      <c r="C14" s="59">
        <f t="shared" si="11"/>
        <v>0</v>
      </c>
      <c r="D14" s="59">
        <f t="shared" si="12"/>
        <v>0</v>
      </c>
      <c r="E14" s="59">
        <f t="shared" si="13"/>
        <v>0</v>
      </c>
      <c r="F14" s="59">
        <f t="shared" si="14"/>
        <v>0</v>
      </c>
      <c r="G14" s="59">
        <f t="shared" si="15"/>
        <v>0</v>
      </c>
      <c r="H14" s="59">
        <f t="shared" si="16"/>
        <v>0</v>
      </c>
      <c r="I14" s="59">
        <f t="shared" si="17"/>
        <v>145.55700000000002</v>
      </c>
      <c r="J14" s="59">
        <f t="shared" si="17"/>
        <v>0</v>
      </c>
      <c r="L14" s="29"/>
      <c r="M14" s="29"/>
      <c r="N14" s="29"/>
      <c r="O14" s="29"/>
      <c r="P14" s="29"/>
      <c r="Q14" s="29"/>
      <c r="R14" s="29">
        <v>135000</v>
      </c>
      <c r="S14" s="29">
        <v>0</v>
      </c>
      <c r="T14" s="32">
        <f t="shared" si="3"/>
        <v>0</v>
      </c>
      <c r="U14" s="32">
        <f t="shared" si="4"/>
        <v>0</v>
      </c>
      <c r="V14" s="32">
        <f t="shared" si="5"/>
        <v>0</v>
      </c>
      <c r="W14" s="32">
        <f t="shared" si="6"/>
        <v>0</v>
      </c>
      <c r="X14" s="32">
        <f t="shared" si="7"/>
        <v>0</v>
      </c>
      <c r="Y14" s="32">
        <f t="shared" si="8"/>
        <v>0</v>
      </c>
      <c r="Z14" s="32">
        <f t="shared" si="9"/>
        <v>3.3672410348454571E-2</v>
      </c>
      <c r="AA14" s="32">
        <f t="shared" si="10"/>
        <v>0</v>
      </c>
    </row>
    <row r="15" spans="1:28" ht="27.6" x14ac:dyDescent="0.25">
      <c r="B15" s="63" t="s">
        <v>136</v>
      </c>
      <c r="C15" s="59">
        <f t="shared" si="11"/>
        <v>-39.095476800000007</v>
      </c>
      <c r="D15" s="59">
        <f t="shared" si="12"/>
        <v>76.807269200000007</v>
      </c>
      <c r="E15" s="59">
        <f t="shared" si="13"/>
        <v>-40.580570000000002</v>
      </c>
      <c r="F15" s="59">
        <f t="shared" si="14"/>
        <v>-395.96846849999997</v>
      </c>
      <c r="G15" s="59">
        <f t="shared" si="15"/>
        <v>-0.44396289999999999</v>
      </c>
      <c r="H15" s="59">
        <f t="shared" si="16"/>
        <v>0</v>
      </c>
      <c r="I15" s="59">
        <f t="shared" si="17"/>
        <v>0</v>
      </c>
      <c r="J15" s="59">
        <f t="shared" si="17"/>
        <v>32.814999999999998</v>
      </c>
      <c r="L15" s="29">
        <v>-26088</v>
      </c>
      <c r="M15" s="29">
        <v>52883</v>
      </c>
      <c r="N15" s="29">
        <v>-29725</v>
      </c>
      <c r="O15" s="29">
        <v>-303215</v>
      </c>
      <c r="P15" s="29">
        <v>-349</v>
      </c>
      <c r="Q15" s="29">
        <v>0</v>
      </c>
      <c r="R15" s="29">
        <v>0</v>
      </c>
      <c r="S15" s="29">
        <v>32815</v>
      </c>
      <c r="T15" s="32">
        <f t="shared" si="3"/>
        <v>-2.054153819019033E-2</v>
      </c>
      <c r="U15" s="32">
        <f t="shared" si="4"/>
        <v>-4.9795246556290952E-2</v>
      </c>
      <c r="V15" s="32">
        <f t="shared" si="5"/>
        <v>-5.2330903841414041E-2</v>
      </c>
      <c r="W15" s="32">
        <f t="shared" si="6"/>
        <v>3.1181164711084599</v>
      </c>
      <c r="X15" s="32">
        <f t="shared" si="7"/>
        <v>9.4423085768087164E-4</v>
      </c>
      <c r="Y15" s="32">
        <f t="shared" si="8"/>
        <v>0</v>
      </c>
      <c r="Z15" s="32">
        <f t="shared" si="9"/>
        <v>0</v>
      </c>
      <c r="AA15" s="32">
        <f t="shared" si="10"/>
        <v>1.2901295555058435E-2</v>
      </c>
    </row>
    <row r="16" spans="1:28" x14ac:dyDescent="0.25">
      <c r="B16" s="50" t="s">
        <v>80</v>
      </c>
      <c r="C16" s="59">
        <f t="shared" si="11"/>
        <v>181.33959160000001</v>
      </c>
      <c r="D16" s="59">
        <f t="shared" si="12"/>
        <v>-22.002407600000002</v>
      </c>
      <c r="E16" s="59">
        <f t="shared" si="13"/>
        <v>30.946353599999998</v>
      </c>
      <c r="F16" s="59">
        <f t="shared" si="14"/>
        <v>6.1808246999999996</v>
      </c>
      <c r="G16" s="59">
        <f t="shared" si="15"/>
        <v>-83.883546100000004</v>
      </c>
      <c r="H16" s="59">
        <f t="shared" si="16"/>
        <v>0</v>
      </c>
      <c r="I16" s="59">
        <f t="shared" si="17"/>
        <v>0</v>
      </c>
      <c r="J16" s="59">
        <f t="shared" si="17"/>
        <v>0</v>
      </c>
      <c r="L16" s="29">
        <v>121006</v>
      </c>
      <c r="M16" s="29">
        <v>-15149</v>
      </c>
      <c r="N16" s="29">
        <v>22668</v>
      </c>
      <c r="O16" s="29">
        <v>4733</v>
      </c>
      <c r="P16" s="29">
        <v>-65941</v>
      </c>
      <c r="T16" s="32">
        <f t="shared" si="3"/>
        <v>9.5279414682695907E-2</v>
      </c>
      <c r="U16" s="32">
        <f t="shared" si="4"/>
        <v>1.4264474218203423E-2</v>
      </c>
      <c r="V16" s="32">
        <f t="shared" si="5"/>
        <v>3.9907045526565967E-2</v>
      </c>
      <c r="W16" s="32">
        <f t="shared" si="6"/>
        <v>-4.8671883837397033E-2</v>
      </c>
      <c r="X16" s="32">
        <f t="shared" si="7"/>
        <v>0.17840552145081479</v>
      </c>
      <c r="Y16" s="32">
        <f t="shared" si="8"/>
        <v>0</v>
      </c>
      <c r="Z16" s="32">
        <f t="shared" si="9"/>
        <v>0</v>
      </c>
      <c r="AA16" s="32">
        <f t="shared" si="10"/>
        <v>0</v>
      </c>
    </row>
    <row r="17" spans="2:28" x14ac:dyDescent="0.25">
      <c r="B17" s="50" t="s">
        <v>81</v>
      </c>
      <c r="C17" s="59">
        <f t="shared" si="11"/>
        <v>-51.725677600000004</v>
      </c>
      <c r="D17" s="59">
        <f t="shared" si="12"/>
        <v>-98.542435200000014</v>
      </c>
      <c r="E17" s="59">
        <f t="shared" si="13"/>
        <v>-98.9742696</v>
      </c>
      <c r="F17" s="59">
        <f t="shared" si="14"/>
        <v>-115.3880181</v>
      </c>
      <c r="G17" s="59">
        <f t="shared" si="15"/>
        <v>-80.297496199999998</v>
      </c>
      <c r="H17" s="59">
        <f t="shared" si="16"/>
        <v>-168.14046329999999</v>
      </c>
      <c r="I17" s="59">
        <f t="shared" si="17"/>
        <v>-145.2939192</v>
      </c>
      <c r="J17" s="59">
        <f t="shared" si="17"/>
        <v>-269.21699999999998</v>
      </c>
      <c r="L17" s="29">
        <v>-34516</v>
      </c>
      <c r="M17" s="29">
        <v>-67848</v>
      </c>
      <c r="N17" s="29">
        <v>-72498</v>
      </c>
      <c r="O17" s="29">
        <v>-88359</v>
      </c>
      <c r="P17" s="29">
        <v>-63122</v>
      </c>
      <c r="Q17" s="29">
        <v>-136069</v>
      </c>
      <c r="R17" s="29">
        <v>-134756</v>
      </c>
      <c r="S17" s="29">
        <v>-269217</v>
      </c>
      <c r="T17" s="32">
        <f t="shared" si="3"/>
        <v>-2.7177695958778343E-2</v>
      </c>
      <c r="U17" s="32">
        <f t="shared" si="4"/>
        <v>6.3886464239003626E-2</v>
      </c>
      <c r="V17" s="32">
        <f t="shared" si="5"/>
        <v>-0.12763282982993557</v>
      </c>
      <c r="W17" s="32">
        <f t="shared" si="6"/>
        <v>0.90864123895807414</v>
      </c>
      <c r="X17" s="32">
        <f t="shared" si="7"/>
        <v>0.17077862521069334</v>
      </c>
      <c r="Y17" s="32">
        <f t="shared" si="8"/>
        <v>-3.0185495637412893E-2</v>
      </c>
      <c r="Z17" s="32">
        <f t="shared" si="9"/>
        <v>-3.3611550584565511E-2</v>
      </c>
      <c r="AA17" s="32">
        <f t="shared" si="10"/>
        <v>-0.10584330597123774</v>
      </c>
    </row>
    <row r="18" spans="2:28" x14ac:dyDescent="0.25">
      <c r="B18" s="50" t="s">
        <v>82</v>
      </c>
      <c r="C18" s="59">
        <f t="shared" si="11"/>
        <v>-46.981110000000008</v>
      </c>
      <c r="D18" s="59">
        <f t="shared" si="12"/>
        <v>5.1836156000000004</v>
      </c>
      <c r="E18" s="59">
        <f t="shared" si="13"/>
        <v>41.424263599999996</v>
      </c>
      <c r="F18" s="59">
        <f t="shared" si="14"/>
        <v>-7.656491700000001</v>
      </c>
      <c r="G18" s="59">
        <f t="shared" si="15"/>
        <v>39.010218600000002</v>
      </c>
      <c r="H18" s="59">
        <f t="shared" si="16"/>
        <v>107.79134669999999</v>
      </c>
      <c r="I18" s="59">
        <f t="shared" si="17"/>
        <v>-97.054173000000006</v>
      </c>
      <c r="J18" s="59">
        <f t="shared" si="17"/>
        <v>-102.74299999999999</v>
      </c>
      <c r="L18" s="29">
        <v>-31350</v>
      </c>
      <c r="M18" s="29">
        <v>3569</v>
      </c>
      <c r="N18" s="29">
        <v>30343</v>
      </c>
      <c r="O18" s="29">
        <v>-5863</v>
      </c>
      <c r="P18" s="29">
        <v>30666</v>
      </c>
      <c r="Q18" s="29">
        <v>87231</v>
      </c>
      <c r="R18" s="29">
        <v>-90015</v>
      </c>
      <c r="S18" s="29">
        <v>-102743</v>
      </c>
      <c r="T18" s="32">
        <f t="shared" si="3"/>
        <v>-2.4684806127816119E-2</v>
      </c>
      <c r="U18" s="32">
        <f t="shared" si="4"/>
        <v>-3.3606118215570675E-3</v>
      </c>
      <c r="V18" s="32">
        <f t="shared" si="5"/>
        <v>5.3418893700926028E-2</v>
      </c>
      <c r="W18" s="32">
        <f t="shared" si="6"/>
        <v>6.0292257540388521E-2</v>
      </c>
      <c r="X18" s="32">
        <f t="shared" si="7"/>
        <v>-8.2967860978915786E-2</v>
      </c>
      <c r="Y18" s="32">
        <f t="shared" si="8"/>
        <v>1.9351292138159049E-2</v>
      </c>
      <c r="Z18" s="32">
        <f t="shared" si="9"/>
        <v>-2.2452014944563985E-2</v>
      </c>
      <c r="AA18" s="32">
        <f t="shared" si="10"/>
        <v>-4.0393655621312474E-2</v>
      </c>
    </row>
    <row r="19" spans="2:28" x14ac:dyDescent="0.25">
      <c r="B19" s="73" t="s">
        <v>83</v>
      </c>
      <c r="C19" s="74">
        <f t="shared" si="11"/>
        <v>813.01747480000017</v>
      </c>
      <c r="D19" s="74">
        <f t="shared" si="12"/>
        <v>940.08478120000018</v>
      </c>
      <c r="E19" s="74">
        <f t="shared" si="13"/>
        <v>917.80348199999992</v>
      </c>
      <c r="F19" s="74">
        <f t="shared" si="14"/>
        <v>2635.2369872999998</v>
      </c>
      <c r="G19" s="74">
        <f t="shared" si="15"/>
        <v>2982.3150562999999</v>
      </c>
      <c r="H19" s="74">
        <f t="shared" si="16"/>
        <v>2849.7663972</v>
      </c>
      <c r="I19" s="74">
        <f t="shared" si="17"/>
        <v>2865.3704100000004</v>
      </c>
      <c r="J19" s="74">
        <f t="shared" si="17"/>
        <v>3382.48</v>
      </c>
      <c r="K19" s="21"/>
      <c r="L19" s="20">
        <v>542518</v>
      </c>
      <c r="M19" s="20">
        <v>647263</v>
      </c>
      <c r="N19" s="20">
        <v>672285</v>
      </c>
      <c r="O19" s="20">
        <v>2017947</v>
      </c>
      <c r="P19" s="20">
        <v>2344403</v>
      </c>
      <c r="Q19" s="20">
        <v>2306196</v>
      </c>
      <c r="R19" s="20">
        <v>2657550</v>
      </c>
      <c r="S19" s="20">
        <v>3382480</v>
      </c>
      <c r="T19" s="26">
        <f t="shared" si="3"/>
        <v>0.42717549125520082</v>
      </c>
      <c r="U19" s="26">
        <f t="shared" si="4"/>
        <v>-0.60947035288778162</v>
      </c>
      <c r="V19" s="26">
        <f t="shared" si="5"/>
        <v>1.1835586775113554</v>
      </c>
      <c r="W19" s="26">
        <f t="shared" si="6"/>
        <v>-20.751591374186315</v>
      </c>
      <c r="X19" s="26">
        <f t="shared" si="7"/>
        <v>-6.3428586115748091</v>
      </c>
      <c r="Y19" s="26">
        <f t="shared" si="8"/>
        <v>0.51160565078760822</v>
      </c>
      <c r="Z19" s="26">
        <f t="shared" si="9"/>
        <v>0.66286010460396627</v>
      </c>
      <c r="AA19" s="26">
        <f t="shared" si="10"/>
        <v>1.3298300834701831</v>
      </c>
      <c r="AB19" s="27">
        <f>AVERAGE(T19:AA19)</f>
        <v>-2.9486112913775742</v>
      </c>
    </row>
    <row r="20" spans="2:28" s="66" customFormat="1" x14ac:dyDescent="0.25">
      <c r="B20" s="61"/>
      <c r="C20" s="62">
        <f t="shared" ref="C20:H20" si="18">SUM(C8:C19)</f>
        <v>6794.0394726000004</v>
      </c>
      <c r="D20" s="62">
        <f t="shared" si="18"/>
        <v>7583.0675440000005</v>
      </c>
      <c r="E20" s="62">
        <f t="shared" si="18"/>
        <v>7504.838874</v>
      </c>
      <c r="F20" s="62">
        <f t="shared" si="18"/>
        <v>9191.6855396999999</v>
      </c>
      <c r="G20" s="62">
        <f t="shared" si="18"/>
        <v>10501.115534500001</v>
      </c>
      <c r="H20" s="62">
        <f t="shared" si="18"/>
        <v>12170.430306899998</v>
      </c>
      <c r="I20" s="62">
        <f>SUM(I8:I19)</f>
        <v>14258.044560599999</v>
      </c>
      <c r="J20" s="62">
        <f>SUM(J8:J19)</f>
        <v>19268.394</v>
      </c>
      <c r="L20" s="53">
        <f>SUM(L8:L19)</f>
        <v>4533591</v>
      </c>
      <c r="M20" s="53">
        <f>SUM(M8:M19)</f>
        <v>5221060</v>
      </c>
      <c r="N20" s="53">
        <f>SUM(N8:N19)</f>
        <v>5497245</v>
      </c>
      <c r="O20" s="53">
        <f>SUM(O8:O19)</f>
        <v>7038583</v>
      </c>
      <c r="P20" s="52">
        <f t="shared" ref="P20" si="19">SUM(P8:P19)</f>
        <v>8254945</v>
      </c>
      <c r="Q20" s="52">
        <f>SUM(Q7:Q19)</f>
        <v>9849017</v>
      </c>
      <c r="R20" s="52">
        <f>SUM(R7:R19)</f>
        <v>13223933</v>
      </c>
      <c r="S20" s="52">
        <f>SUM(S7:S19)</f>
        <v>19268394</v>
      </c>
      <c r="T20" s="32">
        <f t="shared" si="3"/>
        <v>3.5697229632475915</v>
      </c>
      <c r="U20" s="32">
        <f t="shared" si="4"/>
        <v>-4.916210691246496</v>
      </c>
      <c r="V20" s="32">
        <f t="shared" si="5"/>
        <v>9.6779074680469002</v>
      </c>
      <c r="W20" s="32">
        <f t="shared" si="6"/>
        <v>-72.381384778338798</v>
      </c>
      <c r="X20" s="32">
        <f t="shared" si="7"/>
        <v>-22.334022342287746</v>
      </c>
      <c r="Y20" s="32">
        <f t="shared" si="8"/>
        <v>2.1849022164218548</v>
      </c>
      <c r="Z20" s="32">
        <f t="shared" si="9"/>
        <v>3.298382951084962</v>
      </c>
      <c r="AA20" s="32">
        <f t="shared" si="10"/>
        <v>7.5754150804606013</v>
      </c>
    </row>
    <row r="21" spans="2:28" x14ac:dyDescent="0.25">
      <c r="B21" s="12" t="s">
        <v>84</v>
      </c>
      <c r="C21" s="59"/>
      <c r="D21" s="59"/>
      <c r="E21" s="59"/>
      <c r="F21" s="59"/>
      <c r="G21" s="59"/>
      <c r="H21" s="59"/>
      <c r="I21" s="59"/>
      <c r="J21" s="59"/>
      <c r="N21" s="29"/>
      <c r="O21" s="29"/>
      <c r="P21" s="29"/>
      <c r="T21" s="32"/>
      <c r="U21" s="32"/>
      <c r="V21" s="32"/>
      <c r="W21" s="32"/>
      <c r="X21" s="32"/>
      <c r="Y21" s="32"/>
      <c r="Z21" s="32"/>
      <c r="AA21" s="32"/>
    </row>
    <row r="22" spans="2:28" x14ac:dyDescent="0.25">
      <c r="B22" s="50" t="s">
        <v>85</v>
      </c>
      <c r="C22" s="59">
        <f t="shared" ref="C22:J29" si="20">IFERROR(L22/$A$6*C$1,0)</f>
        <v>-159.50049380000002</v>
      </c>
      <c r="D22" s="59">
        <f t="shared" si="20"/>
        <v>-175.44265800000002</v>
      </c>
      <c r="E22" s="59">
        <f t="shared" si="20"/>
        <v>-100.314896</v>
      </c>
      <c r="F22" s="59">
        <f t="shared" si="20"/>
        <v>-142.6878576</v>
      </c>
      <c r="G22" s="59">
        <f t="shared" si="20"/>
        <v>-333.37288649999999</v>
      </c>
      <c r="H22" s="59">
        <f t="shared" si="20"/>
        <v>92.452602600000006</v>
      </c>
      <c r="I22" s="59">
        <f t="shared" si="20"/>
        <v>744.03023940000003</v>
      </c>
      <c r="J22" s="59">
        <f t="shared" si="20"/>
        <v>159.67699999999999</v>
      </c>
      <c r="L22" s="29">
        <v>-106433</v>
      </c>
      <c r="M22" s="29">
        <v>-120795</v>
      </c>
      <c r="N22" s="29">
        <v>-73480</v>
      </c>
      <c r="O22" s="29">
        <v>-109264</v>
      </c>
      <c r="P22" s="29">
        <v>-262065</v>
      </c>
      <c r="Q22" s="29">
        <v>74818</v>
      </c>
      <c r="R22" s="29">
        <v>690067</v>
      </c>
      <c r="S22" s="29">
        <v>159677</v>
      </c>
      <c r="T22" s="32">
        <f t="shared" si="3"/>
        <v>-8.3804719955401993E-2</v>
      </c>
      <c r="U22" s="32">
        <f t="shared" si="4"/>
        <v>0.11374197393807398</v>
      </c>
      <c r="V22" s="32">
        <f t="shared" si="5"/>
        <v>-0.12936164219569735</v>
      </c>
      <c r="W22" s="32">
        <f t="shared" si="6"/>
        <v>1.1236181524634163</v>
      </c>
      <c r="X22" s="32">
        <f t="shared" si="7"/>
        <v>0.70902538601185561</v>
      </c>
      <c r="Y22" s="32">
        <f t="shared" si="8"/>
        <v>1.6597596900101846E-2</v>
      </c>
      <c r="Z22" s="32">
        <f t="shared" ref="Z22:Z30" si="21">I22/I$58</f>
        <v>0.17212014216242222</v>
      </c>
      <c r="AA22" s="32">
        <f t="shared" ref="AA22:AA30" si="22">J22/J$58</f>
        <v>6.2777393580529195E-2</v>
      </c>
    </row>
    <row r="23" spans="2:28" x14ac:dyDescent="0.25">
      <c r="B23" s="50" t="s">
        <v>86</v>
      </c>
      <c r="C23" s="59">
        <f t="shared" si="20"/>
        <v>-536.03273540000009</v>
      </c>
      <c r="D23" s="59">
        <f t="shared" si="20"/>
        <v>-1874.2205320000003</v>
      </c>
      <c r="E23" s="59">
        <f t="shared" si="20"/>
        <v>-1043.3923256</v>
      </c>
      <c r="F23" s="59">
        <f t="shared" si="20"/>
        <v>-3179.6288262000003</v>
      </c>
      <c r="G23" s="59">
        <f t="shared" si="20"/>
        <v>-889.12666239999999</v>
      </c>
      <c r="H23" s="59">
        <f t="shared" si="20"/>
        <v>2001.3100632000001</v>
      </c>
      <c r="I23" s="59">
        <f t="shared" si="20"/>
        <v>-635.47275060000004</v>
      </c>
      <c r="J23" s="59">
        <f t="shared" si="20"/>
        <v>-3100.0450000000001</v>
      </c>
      <c r="L23" s="29">
        <v>-357689</v>
      </c>
      <c r="M23" s="29">
        <v>-1290430</v>
      </c>
      <c r="N23" s="29">
        <v>-764278</v>
      </c>
      <c r="O23" s="29">
        <v>-2434818</v>
      </c>
      <c r="P23" s="29">
        <v>-698944</v>
      </c>
      <c r="Q23" s="29">
        <v>1619576</v>
      </c>
      <c r="R23" s="29">
        <v>-589383</v>
      </c>
      <c r="S23" s="29">
        <v>-3100045</v>
      </c>
      <c r="T23" s="32">
        <f t="shared" si="3"/>
        <v>-0.28164222070342648</v>
      </c>
      <c r="U23" s="32">
        <f t="shared" si="4"/>
        <v>1.215083864637682</v>
      </c>
      <c r="V23" s="32">
        <f t="shared" si="5"/>
        <v>-1.345512481954861</v>
      </c>
      <c r="W23" s="32">
        <f t="shared" si="6"/>
        <v>25.038491202451592</v>
      </c>
      <c r="X23" s="32">
        <f t="shared" si="7"/>
        <v>1.8910157380828057</v>
      </c>
      <c r="Y23" s="32">
        <f t="shared" si="8"/>
        <v>0.35928612896735201</v>
      </c>
      <c r="Z23" s="32">
        <f t="shared" si="21"/>
        <v>-0.14700700909928296</v>
      </c>
      <c r="AA23" s="32">
        <f t="shared" si="22"/>
        <v>-1.2187900892573862</v>
      </c>
    </row>
    <row r="24" spans="2:28" x14ac:dyDescent="0.25">
      <c r="B24" s="50" t="s">
        <v>142</v>
      </c>
      <c r="C24" s="59">
        <f t="shared" si="20"/>
        <v>0</v>
      </c>
      <c r="D24" s="59">
        <f t="shared" si="20"/>
        <v>0</v>
      </c>
      <c r="E24" s="59">
        <f t="shared" si="20"/>
        <v>0</v>
      </c>
      <c r="F24" s="59">
        <f t="shared" si="20"/>
        <v>0</v>
      </c>
      <c r="G24" s="59">
        <f t="shared" si="20"/>
        <v>0</v>
      </c>
      <c r="H24" s="59">
        <f t="shared" si="20"/>
        <v>0</v>
      </c>
      <c r="I24" s="59">
        <f t="shared" si="20"/>
        <v>-58.730632200000002</v>
      </c>
      <c r="J24" s="59">
        <f t="shared" si="20"/>
        <v>-88.766000000000005</v>
      </c>
      <c r="L24" s="29"/>
      <c r="M24" s="29"/>
      <c r="N24" s="29"/>
      <c r="O24" s="29"/>
      <c r="P24" s="29"/>
      <c r="R24" s="29">
        <v>-54471</v>
      </c>
      <c r="S24" s="29">
        <v>-88766</v>
      </c>
      <c r="T24" s="32">
        <f t="shared" si="3"/>
        <v>0</v>
      </c>
      <c r="U24" s="32">
        <f t="shared" si="4"/>
        <v>0</v>
      </c>
      <c r="V24" s="32">
        <f t="shared" si="5"/>
        <v>0</v>
      </c>
      <c r="W24" s="32">
        <f t="shared" si="6"/>
        <v>0</v>
      </c>
      <c r="X24" s="32">
        <f t="shared" si="7"/>
        <v>0</v>
      </c>
      <c r="Y24" s="32">
        <f t="shared" si="8"/>
        <v>0</v>
      </c>
      <c r="Z24" s="32">
        <f t="shared" si="21"/>
        <v>-1.3586443437708658E-2</v>
      </c>
      <c r="AA24" s="32">
        <f t="shared" si="22"/>
        <v>-3.4898564718583491E-2</v>
      </c>
    </row>
    <row r="25" spans="2:28" x14ac:dyDescent="0.25">
      <c r="B25" s="50" t="s">
        <v>87</v>
      </c>
      <c r="C25" s="59">
        <f t="shared" si="20"/>
        <v>126.80553760000001</v>
      </c>
      <c r="D25" s="59">
        <f t="shared" si="20"/>
        <v>-205.42019400000001</v>
      </c>
      <c r="E25" s="59">
        <f t="shared" si="20"/>
        <v>329.97020520000001</v>
      </c>
      <c r="F25" s="59">
        <f t="shared" si="20"/>
        <v>-1196.6836653</v>
      </c>
      <c r="G25" s="59">
        <f t="shared" si="20"/>
        <v>-151.39262100000002</v>
      </c>
      <c r="H25" s="59">
        <f t="shared" si="20"/>
        <v>48.077379899999997</v>
      </c>
      <c r="I25" s="59">
        <f t="shared" si="20"/>
        <v>-306.45894240000007</v>
      </c>
      <c r="J25" s="59">
        <f t="shared" si="20"/>
        <v>803.35199999999998</v>
      </c>
      <c r="L25" s="29">
        <v>84616</v>
      </c>
      <c r="M25" s="29">
        <v>-141435</v>
      </c>
      <c r="N25" s="29">
        <v>241701</v>
      </c>
      <c r="O25" s="29">
        <v>-916367</v>
      </c>
      <c r="P25" s="29">
        <v>-119010</v>
      </c>
      <c r="Q25" s="29">
        <v>38907</v>
      </c>
      <c r="R25" s="29">
        <v>-284232</v>
      </c>
      <c r="S25" s="29">
        <v>803352</v>
      </c>
      <c r="T25" s="32">
        <f t="shared" si="3"/>
        <v>6.6626142115192619E-2</v>
      </c>
      <c r="U25" s="32">
        <f t="shared" si="4"/>
        <v>0.13317683748442807</v>
      </c>
      <c r="V25" s="32">
        <f t="shared" si="5"/>
        <v>0.42551494665680789</v>
      </c>
      <c r="W25" s="32">
        <f t="shared" si="6"/>
        <v>9.4234752115833533</v>
      </c>
      <c r="X25" s="32">
        <f t="shared" si="7"/>
        <v>0.32198542800172075</v>
      </c>
      <c r="Y25" s="32">
        <f t="shared" si="8"/>
        <v>8.6311142050343823E-3</v>
      </c>
      <c r="Z25" s="32">
        <f t="shared" si="21"/>
        <v>-7.0894641023421787E-2</v>
      </c>
      <c r="AA25" s="32">
        <f t="shared" si="22"/>
        <v>0.3158397558051898</v>
      </c>
    </row>
    <row r="26" spans="2:28" x14ac:dyDescent="0.25">
      <c r="B26" s="12" t="s">
        <v>88</v>
      </c>
      <c r="C26" s="59">
        <f t="shared" si="20"/>
        <v>0</v>
      </c>
      <c r="D26" s="59">
        <f t="shared" si="20"/>
        <v>0</v>
      </c>
      <c r="E26" s="59">
        <f t="shared" si="20"/>
        <v>0</v>
      </c>
      <c r="F26" s="59">
        <f t="shared" si="20"/>
        <v>0</v>
      </c>
      <c r="G26" s="59">
        <f t="shared" si="20"/>
        <v>0</v>
      </c>
      <c r="H26" s="59">
        <f t="shared" si="20"/>
        <v>0</v>
      </c>
      <c r="I26" s="59">
        <f t="shared" si="20"/>
        <v>0</v>
      </c>
      <c r="J26" s="59">
        <f t="shared" si="20"/>
        <v>0</v>
      </c>
      <c r="N26" s="29"/>
      <c r="O26" s="29"/>
      <c r="P26" s="29"/>
      <c r="T26" s="32">
        <f t="shared" si="3"/>
        <v>0</v>
      </c>
      <c r="U26" s="32">
        <f t="shared" si="4"/>
        <v>0</v>
      </c>
      <c r="V26" s="32">
        <f t="shared" si="5"/>
        <v>0</v>
      </c>
      <c r="W26" s="32">
        <f t="shared" si="6"/>
        <v>0</v>
      </c>
      <c r="X26" s="32">
        <f t="shared" si="7"/>
        <v>0</v>
      </c>
      <c r="Y26" s="32">
        <f t="shared" si="8"/>
        <v>0</v>
      </c>
      <c r="Z26" s="32">
        <f t="shared" si="21"/>
        <v>0</v>
      </c>
      <c r="AA26" s="32">
        <f t="shared" si="22"/>
        <v>0</v>
      </c>
    </row>
    <row r="27" spans="2:28" x14ac:dyDescent="0.25">
      <c r="B27" s="73" t="s">
        <v>89</v>
      </c>
      <c r="C27" s="74">
        <f t="shared" si="20"/>
        <v>1572.5843834</v>
      </c>
      <c r="D27" s="74">
        <f t="shared" si="20"/>
        <v>1226.9759008000001</v>
      </c>
      <c r="E27" s="74">
        <f t="shared" si="20"/>
        <v>890.85170359999995</v>
      </c>
      <c r="F27" s="74">
        <f t="shared" si="20"/>
        <v>4864.4918649000001</v>
      </c>
      <c r="G27" s="74">
        <f t="shared" si="20"/>
        <v>-320.6493423</v>
      </c>
      <c r="H27" s="74">
        <f t="shared" si="20"/>
        <v>1141.3604834999999</v>
      </c>
      <c r="I27" s="74">
        <f t="shared" si="20"/>
        <v>4781.7458388000005</v>
      </c>
      <c r="J27" s="74">
        <f t="shared" si="20"/>
        <v>2944.299</v>
      </c>
      <c r="K27" s="21"/>
      <c r="L27" s="20">
        <v>1049369</v>
      </c>
      <c r="M27" s="20">
        <v>844792</v>
      </c>
      <c r="N27" s="20">
        <v>652543</v>
      </c>
      <c r="O27" s="20">
        <v>3725011</v>
      </c>
      <c r="P27" s="20">
        <v>-252063</v>
      </c>
      <c r="Q27" s="20">
        <v>923655</v>
      </c>
      <c r="R27" s="20">
        <v>4434934</v>
      </c>
      <c r="S27" s="20">
        <v>2944299</v>
      </c>
      <c r="T27" s="26">
        <f t="shared" si="3"/>
        <v>0.82626699590240082</v>
      </c>
      <c r="U27" s="26">
        <f t="shared" si="4"/>
        <v>-0.79546595179513535</v>
      </c>
      <c r="V27" s="26">
        <f t="shared" si="5"/>
        <v>1.1488028590542587</v>
      </c>
      <c r="W27" s="26">
        <f t="shared" si="6"/>
        <v>-38.306212272348652</v>
      </c>
      <c r="X27" s="26">
        <f t="shared" si="7"/>
        <v>0.6819646495117867</v>
      </c>
      <c r="Y27" s="26">
        <f t="shared" si="8"/>
        <v>0.20490327681525258</v>
      </c>
      <c r="Z27" s="26">
        <f t="shared" si="21"/>
        <v>1.1061845741949112</v>
      </c>
      <c r="AA27" s="26">
        <f t="shared" si="22"/>
        <v>1.1575581777072375</v>
      </c>
      <c r="AB27" s="27">
        <f>AVERAGE(T27:AA27)</f>
        <v>-4.2469997113697433</v>
      </c>
    </row>
    <row r="28" spans="2:28" x14ac:dyDescent="0.25">
      <c r="B28" s="50" t="s">
        <v>90</v>
      </c>
      <c r="C28" s="59">
        <f t="shared" si="20"/>
        <v>-1295.3823470000002</v>
      </c>
      <c r="D28" s="59">
        <f t="shared" si="20"/>
        <v>-1595.8477384000003</v>
      </c>
      <c r="E28" s="59">
        <f t="shared" si="20"/>
        <v>-615.95503159999998</v>
      </c>
      <c r="F28" s="59">
        <f t="shared" si="20"/>
        <v>-767.55317220000006</v>
      </c>
      <c r="G28" s="59">
        <f t="shared" si="20"/>
        <v>-1939.8583646</v>
      </c>
      <c r="H28" s="59">
        <f t="shared" si="20"/>
        <v>-362.21950530000004</v>
      </c>
      <c r="I28" s="59">
        <f t="shared" si="20"/>
        <v>-1604.032749</v>
      </c>
      <c r="J28" s="59">
        <f t="shared" si="20"/>
        <v>-1446.4290000000001</v>
      </c>
      <c r="L28" s="29">
        <v>-864395</v>
      </c>
      <c r="M28" s="29">
        <v>-1098766</v>
      </c>
      <c r="N28" s="29">
        <v>-451183</v>
      </c>
      <c r="O28" s="29">
        <v>-587758</v>
      </c>
      <c r="P28" s="29">
        <v>-1524926</v>
      </c>
      <c r="Q28" s="29">
        <v>-293129</v>
      </c>
      <c r="R28" s="29">
        <v>-1487695</v>
      </c>
      <c r="S28" s="29">
        <v>-1446429</v>
      </c>
      <c r="T28" s="32">
        <f t="shared" si="3"/>
        <v>-0.68061955320107215</v>
      </c>
      <c r="U28" s="32">
        <f t="shared" si="4"/>
        <v>1.0346108177990958</v>
      </c>
      <c r="V28" s="32">
        <f t="shared" si="5"/>
        <v>-0.79430829900355626</v>
      </c>
      <c r="W28" s="32">
        <f t="shared" si="6"/>
        <v>6.0442191211706762</v>
      </c>
      <c r="X28" s="32">
        <f t="shared" si="7"/>
        <v>4.1257369194265356</v>
      </c>
      <c r="Y28" s="32">
        <f t="shared" si="8"/>
        <v>-6.5027626797427809E-2</v>
      </c>
      <c r="Z28" s="32">
        <f t="shared" si="21"/>
        <v>-0.37106871491366011</v>
      </c>
      <c r="AA28" s="32">
        <f t="shared" si="22"/>
        <v>-0.56866701290286814</v>
      </c>
    </row>
    <row r="29" spans="2:28" x14ac:dyDescent="0.25">
      <c r="B29" s="50" t="s">
        <v>91</v>
      </c>
      <c r="C29" s="59">
        <f t="shared" si="20"/>
        <v>121.13183800000002</v>
      </c>
      <c r="D29" s="59">
        <f t="shared" si="20"/>
        <v>35.666586800000005</v>
      </c>
      <c r="E29" s="59">
        <f t="shared" si="20"/>
        <v>1.7501864</v>
      </c>
      <c r="F29" s="59">
        <f t="shared" si="20"/>
        <v>87.871399199999999</v>
      </c>
      <c r="G29" s="59">
        <f t="shared" si="20"/>
        <v>198.72364570000002</v>
      </c>
      <c r="H29" s="59">
        <f t="shared" si="20"/>
        <v>129.3864399</v>
      </c>
      <c r="I29" s="59">
        <f t="shared" si="20"/>
        <v>183.00396420000001</v>
      </c>
      <c r="J29" s="59">
        <f t="shared" si="20"/>
        <v>-0.34399999999999997</v>
      </c>
      <c r="L29" s="29">
        <v>80830</v>
      </c>
      <c r="M29" s="29">
        <v>24557</v>
      </c>
      <c r="N29" s="29">
        <v>1282</v>
      </c>
      <c r="O29" s="29">
        <v>67288</v>
      </c>
      <c r="P29" s="29">
        <v>156217</v>
      </c>
      <c r="Q29" s="29">
        <v>104707</v>
      </c>
      <c r="R29" s="29">
        <v>169731</v>
      </c>
      <c r="S29" s="29">
        <v>-344</v>
      </c>
      <c r="T29" s="32">
        <f t="shared" si="3"/>
        <v>6.3645067920618081E-2</v>
      </c>
      <c r="U29" s="32">
        <f t="shared" si="4"/>
        <v>-2.3123156206774142E-2</v>
      </c>
      <c r="V29" s="32">
        <f t="shared" si="5"/>
        <v>2.2569627830005988E-3</v>
      </c>
      <c r="W29" s="32">
        <f t="shared" si="6"/>
        <v>-0.69195726170521277</v>
      </c>
      <c r="X29" s="32">
        <f t="shared" si="7"/>
        <v>-0.42265017734765831</v>
      </c>
      <c r="Y29" s="32">
        <f t="shared" si="8"/>
        <v>2.3228161386550879E-2</v>
      </c>
      <c r="Z29" s="32">
        <f t="shared" si="21"/>
        <v>4.233519911743365E-2</v>
      </c>
      <c r="AA29" s="32">
        <f t="shared" si="22"/>
        <v>-1.352444208727747E-4</v>
      </c>
    </row>
    <row r="30" spans="2:28" x14ac:dyDescent="0.25">
      <c r="B30" s="64" t="s">
        <v>92</v>
      </c>
      <c r="C30" s="62">
        <f>SUM(C20:C29)</f>
        <v>6623.6456554000006</v>
      </c>
      <c r="D30" s="62">
        <f t="shared" ref="D30:I30" si="23">SUM(D20:D29)</f>
        <v>4994.7789092000003</v>
      </c>
      <c r="E30" s="62">
        <f t="shared" si="23"/>
        <v>6967.748716000001</v>
      </c>
      <c r="F30" s="62">
        <f t="shared" si="23"/>
        <v>8857.4952825</v>
      </c>
      <c r="G30" s="62">
        <f t="shared" si="23"/>
        <v>7065.4393034000013</v>
      </c>
      <c r="H30" s="62">
        <f t="shared" si="23"/>
        <v>15220.797770699999</v>
      </c>
      <c r="I30" s="62">
        <f t="shared" si="23"/>
        <v>17362.1295288</v>
      </c>
      <c r="J30" s="62">
        <f t="shared" ref="J30" si="24">SUM(J20:J29)</f>
        <v>18540.137999999999</v>
      </c>
      <c r="L30" s="52">
        <f>SUM(L20:L29)</f>
        <v>4419889</v>
      </c>
      <c r="M30" s="52">
        <f>SUM(M20:M29)</f>
        <v>3438983</v>
      </c>
      <c r="N30" s="52">
        <f t="shared" ref="N30:P30" si="25">SUM(N20:N29)</f>
        <v>5103830</v>
      </c>
      <c r="O30" s="52">
        <f t="shared" si="25"/>
        <v>6782675</v>
      </c>
      <c r="P30" s="52">
        <f t="shared" si="25"/>
        <v>5554154</v>
      </c>
      <c r="Q30" s="52">
        <f>SUM(Q20:Q29)</f>
        <v>12317551</v>
      </c>
      <c r="R30" s="52">
        <f>SUM(R20:R29)</f>
        <v>16102884</v>
      </c>
      <c r="S30" s="52">
        <f>SUM(S20:S29)</f>
        <v>18540138</v>
      </c>
      <c r="T30" s="32">
        <f t="shared" si="3"/>
        <v>3.4801946753259028</v>
      </c>
      <c r="U30" s="32">
        <f t="shared" si="4"/>
        <v>-3.2381863053891253</v>
      </c>
      <c r="V30" s="32">
        <f t="shared" si="5"/>
        <v>8.9852998133868542</v>
      </c>
      <c r="W30" s="32">
        <f t="shared" si="6"/>
        <v>-69.749750624723632</v>
      </c>
      <c r="X30" s="32">
        <f t="shared" si="7"/>
        <v>-15.026944398600701</v>
      </c>
      <c r="Y30" s="32">
        <f t="shared" si="8"/>
        <v>2.7325208678987192</v>
      </c>
      <c r="Z30" s="32">
        <f t="shared" si="21"/>
        <v>4.0164660580856557</v>
      </c>
      <c r="AA30" s="32">
        <f t="shared" si="22"/>
        <v>7.2890994962538471</v>
      </c>
    </row>
    <row r="31" spans="2:28" x14ac:dyDescent="0.25">
      <c r="B31" s="12"/>
      <c r="C31" s="12"/>
      <c r="D31" s="12"/>
      <c r="E31" s="12"/>
      <c r="F31" s="12"/>
      <c r="G31" s="12"/>
      <c r="H31" s="12"/>
      <c r="I31" s="12"/>
      <c r="J31" s="12"/>
      <c r="N31" s="29"/>
      <c r="O31" s="29"/>
      <c r="P31" s="29"/>
      <c r="T31" s="32"/>
      <c r="U31" s="32"/>
      <c r="V31" s="32"/>
      <c r="W31" s="32"/>
      <c r="X31" s="32"/>
      <c r="Y31" s="32"/>
      <c r="Z31" s="32"/>
      <c r="AA31" s="32"/>
    </row>
    <row r="32" spans="2:28" x14ac:dyDescent="0.25">
      <c r="B32" s="12" t="s">
        <v>93</v>
      </c>
      <c r="C32" s="12"/>
      <c r="D32" s="12"/>
      <c r="E32" s="12"/>
      <c r="F32" s="12"/>
      <c r="G32" s="12"/>
      <c r="H32" s="12"/>
      <c r="I32" s="12"/>
      <c r="J32" s="12"/>
      <c r="N32" s="29"/>
      <c r="O32" s="29"/>
      <c r="P32" s="29"/>
      <c r="T32" s="32"/>
      <c r="U32" s="32"/>
      <c r="V32" s="32"/>
      <c r="W32" s="32"/>
      <c r="X32" s="32"/>
      <c r="Y32" s="32"/>
      <c r="Z32" s="32"/>
      <c r="AA32" s="32"/>
    </row>
    <row r="33" spans="2:28" x14ac:dyDescent="0.25">
      <c r="B33" s="50" t="s">
        <v>143</v>
      </c>
      <c r="C33" s="59">
        <f t="shared" ref="C33:J39" si="26">IFERROR(L33/$A$6*C$1,0)</f>
        <v>0</v>
      </c>
      <c r="D33" s="59">
        <f t="shared" si="26"/>
        <v>0</v>
      </c>
      <c r="E33" s="59">
        <f t="shared" si="26"/>
        <v>0</v>
      </c>
      <c r="F33" s="59">
        <f t="shared" si="26"/>
        <v>-5805.6814187999998</v>
      </c>
      <c r="G33" s="59">
        <f t="shared" si="26"/>
        <v>0</v>
      </c>
      <c r="H33" s="59">
        <f t="shared" si="26"/>
        <v>-27.803250000000002</v>
      </c>
      <c r="I33" s="59">
        <f t="shared" si="26"/>
        <v>-12379.3737858</v>
      </c>
      <c r="J33" s="59">
        <f t="shared" si="26"/>
        <v>-1106.722</v>
      </c>
      <c r="N33" s="29"/>
      <c r="O33" s="29">
        <v>-4445732</v>
      </c>
      <c r="P33" s="29">
        <v>0</v>
      </c>
      <c r="Q33" s="29">
        <v>-22500</v>
      </c>
      <c r="R33" s="29">
        <v>-11481519</v>
      </c>
      <c r="S33" s="29">
        <v>-1106722</v>
      </c>
      <c r="T33" s="32">
        <f t="shared" si="3"/>
        <v>0</v>
      </c>
      <c r="U33" s="32">
        <f t="shared" si="4"/>
        <v>0</v>
      </c>
      <c r="V33" s="32">
        <f t="shared" si="5"/>
        <v>0</v>
      </c>
      <c r="W33" s="32">
        <f t="shared" si="6"/>
        <v>45.717758604732474</v>
      </c>
      <c r="X33" s="32">
        <f t="shared" si="7"/>
        <v>0</v>
      </c>
      <c r="Y33" s="32">
        <f t="shared" si="8"/>
        <v>-4.9913915134364925E-3</v>
      </c>
      <c r="Z33" s="32">
        <f t="shared" ref="Z33:AA40" si="27">I33/I$58</f>
        <v>-2.863780882900576</v>
      </c>
      <c r="AA33" s="32">
        <f t="shared" si="27"/>
        <v>-0.43511039522429928</v>
      </c>
    </row>
    <row r="34" spans="2:28" x14ac:dyDescent="0.25">
      <c r="B34" s="73" t="s">
        <v>94</v>
      </c>
      <c r="C34" s="74">
        <f t="shared" si="26"/>
        <v>-4287.0884794000003</v>
      </c>
      <c r="D34" s="74">
        <f t="shared" si="26"/>
        <v>-4764.6926060000005</v>
      </c>
      <c r="E34" s="74">
        <f t="shared" si="26"/>
        <v>-4088.4982295999994</v>
      </c>
      <c r="F34" s="74">
        <f t="shared" si="26"/>
        <v>-5578.1374851</v>
      </c>
      <c r="G34" s="74">
        <f t="shared" si="26"/>
        <v>-4821.0083962999997</v>
      </c>
      <c r="H34" s="74">
        <f t="shared" si="26"/>
        <v>-2901.9512439</v>
      </c>
      <c r="I34" s="74">
        <f t="shared" si="26"/>
        <v>-4460.0131152000004</v>
      </c>
      <c r="J34" s="74">
        <f t="shared" si="26"/>
        <v>-5401.4549999999999</v>
      </c>
      <c r="K34" s="21"/>
      <c r="L34" s="20">
        <v>-2860729</v>
      </c>
      <c r="M34" s="20">
        <v>-3280565</v>
      </c>
      <c r="N34" s="20">
        <v>-2994798</v>
      </c>
      <c r="O34" s="20">
        <v>-4271489</v>
      </c>
      <c r="P34" s="20">
        <v>-3789803</v>
      </c>
      <c r="Q34" s="20">
        <v>-2348427</v>
      </c>
      <c r="R34" s="20">
        <v>-4136536</v>
      </c>
      <c r="S34" s="20">
        <v>-5401455</v>
      </c>
      <c r="T34" s="26">
        <f t="shared" si="3"/>
        <v>-2.2525212360198172</v>
      </c>
      <c r="U34" s="26">
        <f t="shared" si="4"/>
        <v>3.0890180780012222</v>
      </c>
      <c r="V34" s="26">
        <f t="shared" si="5"/>
        <v>-5.2723460441533749</v>
      </c>
      <c r="W34" s="26">
        <f t="shared" si="6"/>
        <v>43.925927830280841</v>
      </c>
      <c r="X34" s="26">
        <f t="shared" si="7"/>
        <v>10.253435349947107</v>
      </c>
      <c r="Y34" s="26">
        <f t="shared" si="8"/>
        <v>-0.52097415989889428</v>
      </c>
      <c r="Z34" s="26">
        <f t="shared" si="27"/>
        <v>-1.0317565749122584</v>
      </c>
      <c r="AA34" s="26">
        <f t="shared" si="27"/>
        <v>-2.1235949225155619</v>
      </c>
      <c r="AB34" s="27">
        <f>AVERAGE(T34:AA34)</f>
        <v>5.7583985400911573</v>
      </c>
    </row>
    <row r="35" spans="2:28" x14ac:dyDescent="0.25">
      <c r="B35" s="50" t="s">
        <v>95</v>
      </c>
      <c r="C35" s="59">
        <f t="shared" si="26"/>
        <v>331.65966180000004</v>
      </c>
      <c r="D35" s="59">
        <f t="shared" si="26"/>
        <v>2.4371271999999999</v>
      </c>
      <c r="E35" s="59">
        <f t="shared" si="26"/>
        <v>7.1850475999999999</v>
      </c>
      <c r="F35" s="59">
        <f t="shared" si="26"/>
        <v>21.627009900000001</v>
      </c>
      <c r="G35" s="59">
        <f t="shared" si="26"/>
        <v>1322.2983381000001</v>
      </c>
      <c r="H35" s="59">
        <f t="shared" si="26"/>
        <v>13.298603400000001</v>
      </c>
      <c r="I35" s="59">
        <f t="shared" si="26"/>
        <v>77.311252799999991</v>
      </c>
      <c r="J35" s="59">
        <f t="shared" si="26"/>
        <v>38.603999999999999</v>
      </c>
      <c r="L35" s="29">
        <v>221313</v>
      </c>
      <c r="M35" s="29">
        <v>1678</v>
      </c>
      <c r="N35" s="29">
        <v>5263</v>
      </c>
      <c r="O35" s="29">
        <v>16561</v>
      </c>
      <c r="P35" s="29">
        <v>1039461</v>
      </c>
      <c r="Q35" s="29">
        <v>10762</v>
      </c>
      <c r="R35" s="29">
        <v>71704</v>
      </c>
      <c r="S35" s="29">
        <v>38604</v>
      </c>
      <c r="T35" s="32">
        <f t="shared" si="3"/>
        <v>0.17426055816795433</v>
      </c>
      <c r="U35" s="32">
        <f t="shared" si="4"/>
        <v>-1.5800242747472007E-3</v>
      </c>
      <c r="V35" s="32">
        <f t="shared" si="5"/>
        <v>9.265518819759868E-3</v>
      </c>
      <c r="W35" s="32">
        <f t="shared" si="6"/>
        <v>-0.17030531760640868</v>
      </c>
      <c r="X35" s="32">
        <f t="shared" si="7"/>
        <v>-2.8122955631971824</v>
      </c>
      <c r="Y35" s="32">
        <f t="shared" si="8"/>
        <v>2.3874380207823793E-3</v>
      </c>
      <c r="Z35" s="32">
        <f t="shared" si="27"/>
        <v>1.7884788975004343E-2</v>
      </c>
      <c r="AA35" s="32">
        <f t="shared" si="27"/>
        <v>1.517725471910638E-2</v>
      </c>
    </row>
    <row r="36" spans="2:28" x14ac:dyDescent="0.25">
      <c r="B36" s="50" t="s">
        <v>96</v>
      </c>
      <c r="C36" s="59">
        <f t="shared" si="26"/>
        <v>-194.63067500000002</v>
      </c>
      <c r="D36" s="59">
        <f t="shared" si="26"/>
        <v>-213.43889440000001</v>
      </c>
      <c r="E36" s="59">
        <f t="shared" si="26"/>
        <v>-250.2316036</v>
      </c>
      <c r="F36" s="59">
        <f t="shared" si="26"/>
        <v>-299.90646450000003</v>
      </c>
      <c r="G36" s="59">
        <f t="shared" si="26"/>
        <v>-202.59591810000001</v>
      </c>
      <c r="H36" s="59">
        <f t="shared" si="26"/>
        <v>-221.21007119999999</v>
      </c>
      <c r="I36" s="59">
        <f t="shared" si="26"/>
        <v>-226.4748318</v>
      </c>
      <c r="J36" s="59">
        <f t="shared" si="26"/>
        <v>-280.488</v>
      </c>
      <c r="L36" s="29">
        <v>-129875</v>
      </c>
      <c r="M36" s="29">
        <v>-146956</v>
      </c>
      <c r="N36" s="29">
        <v>-183293</v>
      </c>
      <c r="O36" s="29">
        <v>-229655</v>
      </c>
      <c r="P36" s="29">
        <v>-159261</v>
      </c>
      <c r="Q36" s="29">
        <v>-179016</v>
      </c>
      <c r="R36" s="29">
        <v>-210049</v>
      </c>
      <c r="S36" s="29">
        <v>-280488</v>
      </c>
      <c r="T36" s="32">
        <f t="shared" si="3"/>
        <v>-0.10226281326475656</v>
      </c>
      <c r="U36" s="32">
        <f t="shared" si="4"/>
        <v>0.13837547516075663</v>
      </c>
      <c r="V36" s="32">
        <f t="shared" si="5"/>
        <v>-0.32268758142318937</v>
      </c>
      <c r="W36" s="32">
        <f t="shared" si="6"/>
        <v>2.3616609935933695</v>
      </c>
      <c r="X36" s="32">
        <f t="shared" si="7"/>
        <v>0.43088581841006679</v>
      </c>
      <c r="Y36" s="32">
        <f t="shared" si="8"/>
        <v>-3.9712841918637651E-2</v>
      </c>
      <c r="Z36" s="32">
        <f t="shared" si="27"/>
        <v>-5.2391526824315068E-2</v>
      </c>
      <c r="AA36" s="32">
        <f t="shared" si="27"/>
        <v>-0.11027452651675242</v>
      </c>
    </row>
    <row r="37" spans="2:28" x14ac:dyDescent="0.25">
      <c r="B37" s="50" t="s">
        <v>144</v>
      </c>
      <c r="C37" s="59">
        <f t="shared" si="26"/>
        <v>0</v>
      </c>
      <c r="D37" s="59">
        <f t="shared" si="26"/>
        <v>0</v>
      </c>
      <c r="E37" s="59">
        <f t="shared" si="26"/>
        <v>9.3529851999999991</v>
      </c>
      <c r="F37" s="59">
        <f t="shared" si="26"/>
        <v>2.4067737</v>
      </c>
      <c r="G37" s="59">
        <f t="shared" si="26"/>
        <v>2.1078697000000002</v>
      </c>
      <c r="H37" s="59">
        <f t="shared" si="26"/>
        <v>2.5677846</v>
      </c>
      <c r="I37" s="59">
        <f t="shared" si="26"/>
        <v>0</v>
      </c>
      <c r="J37" s="59">
        <f t="shared" si="26"/>
        <v>0</v>
      </c>
      <c r="N37" s="29">
        <v>6851</v>
      </c>
      <c r="O37" s="29">
        <v>1843</v>
      </c>
      <c r="P37" s="29">
        <v>1657</v>
      </c>
      <c r="Q37" s="29">
        <v>2078</v>
      </c>
      <c r="T37" s="32">
        <f t="shared" si="3"/>
        <v>0</v>
      </c>
      <c r="U37" s="32">
        <f t="shared" si="4"/>
        <v>0</v>
      </c>
      <c r="V37" s="32">
        <f t="shared" si="5"/>
        <v>1.2061195028344072E-2</v>
      </c>
      <c r="W37" s="32">
        <f t="shared" si="6"/>
        <v>-1.8952521004082557E-2</v>
      </c>
      <c r="X37" s="32">
        <f t="shared" si="7"/>
        <v>-4.4830674245765175E-3</v>
      </c>
      <c r="Y37" s="32">
        <f t="shared" si="8"/>
        <v>4.6098273621871248E-4</v>
      </c>
      <c r="Z37" s="32">
        <f t="shared" si="27"/>
        <v>0</v>
      </c>
      <c r="AA37" s="32">
        <f t="shared" si="27"/>
        <v>0</v>
      </c>
    </row>
    <row r="38" spans="2:28" x14ac:dyDescent="0.25">
      <c r="B38" s="50" t="s">
        <v>145</v>
      </c>
      <c r="C38" s="59">
        <f t="shared" si="26"/>
        <v>0</v>
      </c>
      <c r="D38" s="59">
        <f t="shared" si="26"/>
        <v>0</v>
      </c>
      <c r="E38" s="59">
        <f t="shared" si="26"/>
        <v>0</v>
      </c>
      <c r="F38" s="59">
        <f t="shared" si="26"/>
        <v>0</v>
      </c>
      <c r="G38" s="59">
        <f t="shared" si="26"/>
        <v>0</v>
      </c>
      <c r="H38" s="59">
        <f t="shared" si="26"/>
        <v>-166.81950000000001</v>
      </c>
      <c r="I38" s="59">
        <f t="shared" si="26"/>
        <v>0</v>
      </c>
      <c r="J38" s="59">
        <f t="shared" si="26"/>
        <v>0</v>
      </c>
      <c r="N38" s="29"/>
      <c r="O38" s="29"/>
      <c r="P38" s="29"/>
      <c r="Q38" s="29">
        <v>-135000</v>
      </c>
      <c r="T38" s="32">
        <f t="shared" si="3"/>
        <v>0</v>
      </c>
      <c r="U38" s="32">
        <f t="shared" si="4"/>
        <v>0</v>
      </c>
      <c r="V38" s="32">
        <f t="shared" si="5"/>
        <v>0</v>
      </c>
      <c r="W38" s="32">
        <f t="shared" si="6"/>
        <v>0</v>
      </c>
      <c r="X38" s="32">
        <f t="shared" si="7"/>
        <v>0</v>
      </c>
      <c r="Y38" s="32">
        <f t="shared" si="8"/>
        <v>-2.9948349080618955E-2</v>
      </c>
      <c r="Z38" s="32">
        <f t="shared" si="27"/>
        <v>0</v>
      </c>
      <c r="AA38" s="32">
        <f t="shared" si="27"/>
        <v>0</v>
      </c>
    </row>
    <row r="39" spans="2:28" x14ac:dyDescent="0.25">
      <c r="B39" s="50" t="s">
        <v>97</v>
      </c>
      <c r="C39" s="59">
        <f t="shared" si="26"/>
        <v>51.725677600000004</v>
      </c>
      <c r="D39" s="59">
        <f t="shared" si="26"/>
        <v>98.542435200000014</v>
      </c>
      <c r="E39" s="59">
        <f t="shared" si="26"/>
        <v>98.9742696</v>
      </c>
      <c r="F39" s="59">
        <f t="shared" si="26"/>
        <v>115.3880181</v>
      </c>
      <c r="G39" s="59">
        <f t="shared" si="26"/>
        <v>80.297496199999998</v>
      </c>
      <c r="H39" s="59">
        <f t="shared" si="26"/>
        <v>168.14046329999999</v>
      </c>
      <c r="I39" s="59">
        <f t="shared" si="26"/>
        <v>145.2939192</v>
      </c>
      <c r="J39" s="59">
        <f t="shared" si="26"/>
        <v>269.21699999999998</v>
      </c>
      <c r="L39" s="29">
        <v>34516</v>
      </c>
      <c r="M39" s="29">
        <v>67848</v>
      </c>
      <c r="N39" s="29">
        <v>72498</v>
      </c>
      <c r="O39" s="29">
        <v>88359</v>
      </c>
      <c r="P39" s="29">
        <v>63122</v>
      </c>
      <c r="Q39" s="29">
        <v>136069</v>
      </c>
      <c r="R39" s="29">
        <v>134756</v>
      </c>
      <c r="S39" s="29">
        <v>269217</v>
      </c>
      <c r="T39" s="32">
        <f t="shared" si="3"/>
        <v>2.7177695958778343E-2</v>
      </c>
      <c r="U39" s="32">
        <f t="shared" si="4"/>
        <v>-6.3886464239003626E-2</v>
      </c>
      <c r="V39" s="32">
        <f t="shared" si="5"/>
        <v>0.12763282982993557</v>
      </c>
      <c r="W39" s="32">
        <f t="shared" si="6"/>
        <v>-0.90864123895807414</v>
      </c>
      <c r="X39" s="32">
        <f t="shared" si="7"/>
        <v>-0.17077862521069334</v>
      </c>
      <c r="Y39" s="32">
        <f t="shared" si="8"/>
        <v>3.0185495637412893E-2</v>
      </c>
      <c r="Z39" s="32">
        <f t="shared" si="27"/>
        <v>3.3611550584565511E-2</v>
      </c>
      <c r="AA39" s="32">
        <f t="shared" si="27"/>
        <v>0.10584330597123774</v>
      </c>
    </row>
    <row r="40" spans="2:28" x14ac:dyDescent="0.25">
      <c r="B40" s="64" t="s">
        <v>98</v>
      </c>
      <c r="C40" s="62">
        <f>SUM(C33:C39)</f>
        <v>-4098.333815</v>
      </c>
      <c r="D40" s="62">
        <f t="shared" ref="D40:I40" si="28">SUM(D33:D39)</f>
        <v>-4877.1519380000009</v>
      </c>
      <c r="E40" s="62">
        <f t="shared" si="28"/>
        <v>-4223.2175307999987</v>
      </c>
      <c r="F40" s="62">
        <f t="shared" si="28"/>
        <v>-11544.303566699999</v>
      </c>
      <c r="G40" s="62">
        <f t="shared" si="28"/>
        <v>-3618.9006103999996</v>
      </c>
      <c r="H40" s="62">
        <f t="shared" si="28"/>
        <v>-3133.7772138</v>
      </c>
      <c r="I40" s="62">
        <f t="shared" si="28"/>
        <v>-16843.2565608</v>
      </c>
      <c r="J40" s="62">
        <f t="shared" ref="J40" si="29">SUM(J33:J39)</f>
        <v>-6480.8440000000001</v>
      </c>
      <c r="L40" s="52">
        <f>SUM(L33:L39)</f>
        <v>-2734775</v>
      </c>
      <c r="M40" s="52">
        <f>SUM(M33:M39)</f>
        <v>-3357995</v>
      </c>
      <c r="N40" s="52">
        <f t="shared" ref="N40:Q40" si="30">SUM(N33:N39)</f>
        <v>-3093479</v>
      </c>
      <c r="O40" s="52">
        <f t="shared" si="30"/>
        <v>-8840113</v>
      </c>
      <c r="P40" s="52">
        <f t="shared" si="30"/>
        <v>-2844824</v>
      </c>
      <c r="Q40" s="52">
        <f t="shared" si="30"/>
        <v>-2536034</v>
      </c>
      <c r="R40" s="52">
        <f>SUM(R33:R39)</f>
        <v>-15621644</v>
      </c>
      <c r="S40" s="52">
        <f>SUM(S33:S39)</f>
        <v>-6480844</v>
      </c>
      <c r="T40" s="32">
        <f t="shared" si="3"/>
        <v>-2.1533457951578407</v>
      </c>
      <c r="U40" s="32">
        <f t="shared" si="4"/>
        <v>3.161927064648228</v>
      </c>
      <c r="V40" s="32">
        <f t="shared" si="5"/>
        <v>-5.4460740818985238</v>
      </c>
      <c r="W40" s="32">
        <f t="shared" si="6"/>
        <v>90.907448351038113</v>
      </c>
      <c r="X40" s="32">
        <f t="shared" si="7"/>
        <v>7.6967639125247214</v>
      </c>
      <c r="Y40" s="32">
        <f t="shared" si="8"/>
        <v>-0.56259282601717342</v>
      </c>
      <c r="Z40" s="32">
        <f t="shared" si="27"/>
        <v>-3.8964326450775797</v>
      </c>
      <c r="AA40" s="32">
        <f t="shared" si="27"/>
        <v>-2.5479592835662697</v>
      </c>
    </row>
    <row r="41" spans="2:28" x14ac:dyDescent="0.25">
      <c r="B41" s="12"/>
      <c r="C41" s="12"/>
      <c r="D41" s="12"/>
      <c r="E41" s="12"/>
      <c r="F41" s="12"/>
      <c r="G41" s="12"/>
      <c r="H41" s="12"/>
      <c r="I41" s="12"/>
      <c r="J41" s="12"/>
      <c r="N41" s="29"/>
      <c r="O41" s="29"/>
      <c r="P41" s="29"/>
      <c r="T41" s="32"/>
      <c r="U41" s="32"/>
      <c r="V41" s="32"/>
      <c r="W41" s="32"/>
      <c r="X41" s="32"/>
      <c r="Y41" s="32"/>
      <c r="Z41" s="32"/>
      <c r="AA41" s="32"/>
    </row>
    <row r="42" spans="2:28" x14ac:dyDescent="0.25">
      <c r="B42" s="12" t="s">
        <v>99</v>
      </c>
      <c r="C42" s="12"/>
      <c r="D42" s="12"/>
      <c r="E42" s="12"/>
      <c r="F42" s="12"/>
      <c r="G42" s="12"/>
      <c r="H42" s="12"/>
      <c r="I42" s="12"/>
      <c r="J42" s="12"/>
      <c r="N42" s="29"/>
      <c r="O42" s="29"/>
      <c r="P42" s="29"/>
      <c r="T42" s="32"/>
      <c r="U42" s="32"/>
      <c r="V42" s="32"/>
      <c r="W42" s="32"/>
      <c r="X42" s="32"/>
      <c r="Y42" s="32"/>
      <c r="Z42" s="32"/>
      <c r="AA42" s="32"/>
    </row>
    <row r="43" spans="2:28" x14ac:dyDescent="0.25">
      <c r="B43" s="73" t="s">
        <v>100</v>
      </c>
      <c r="C43" s="74">
        <f t="shared" ref="C43:C55" si="31">IFERROR(L43/$A$6*C$1,0)</f>
        <v>-5029.4334768000008</v>
      </c>
      <c r="D43" s="74">
        <f t="shared" ref="D43:D55" si="32">IFERROR(M43/$A$6*D$1,0)</f>
        <v>-2500.5317220000002</v>
      </c>
      <c r="E43" s="74">
        <f t="shared" ref="E43:E55" si="33">IFERROR(N43/$A$6*E$1,0)</f>
        <v>-2299.8828147999998</v>
      </c>
      <c r="F43" s="74">
        <f t="shared" ref="F43:F55" si="34">IFERROR(O43/$A$6*F$1,0)</f>
        <v>-1248.9849603</v>
      </c>
      <c r="G43" s="74">
        <f t="shared" ref="G43:G55" si="35">IFERROR(P43/$A$6*G$1,0)</f>
        <v>-737.8383536</v>
      </c>
      <c r="H43" s="74">
        <f t="shared" ref="H43:H55" si="36">IFERROR(Q43/$A$6*H$1,0)</f>
        <v>-4317.2676530999997</v>
      </c>
      <c r="I43" s="74">
        <f t="shared" ref="I43:J55" si="37">IFERROR(R43/$A$6*I$1,0)</f>
        <v>-8879.3608392000006</v>
      </c>
      <c r="J43" s="74">
        <f t="shared" si="37"/>
        <v>-3883.7150000000001</v>
      </c>
      <c r="K43" s="21"/>
      <c r="L43" s="20">
        <v>-3356088</v>
      </c>
      <c r="M43" s="20">
        <v>-1721655</v>
      </c>
      <c r="N43" s="20">
        <v>-1684649</v>
      </c>
      <c r="O43" s="20">
        <v>-956417</v>
      </c>
      <c r="P43" s="20">
        <v>-580016</v>
      </c>
      <c r="Q43" s="20">
        <v>-3493783</v>
      </c>
      <c r="R43" s="20">
        <v>-8235356</v>
      </c>
      <c r="S43" s="20">
        <v>-3883715</v>
      </c>
      <c r="T43" s="26">
        <f t="shared" si="3"/>
        <v>-2.6425640072692231</v>
      </c>
      <c r="U43" s="26">
        <f t="shared" si="4"/>
        <v>1.621130329403988</v>
      </c>
      <c r="V43" s="26">
        <f t="shared" si="5"/>
        <v>-2.9658269075032568</v>
      </c>
      <c r="W43" s="26">
        <f t="shared" si="6"/>
        <v>9.8353300494637139</v>
      </c>
      <c r="X43" s="26">
        <f t="shared" si="7"/>
        <v>1.5692521637496517</v>
      </c>
      <c r="Y43" s="26">
        <f t="shared" si="8"/>
        <v>-0.77505950293283055</v>
      </c>
      <c r="Z43" s="26">
        <f t="shared" ref="Z43:Z56" si="38">I43/I$58</f>
        <v>-2.0541058266489438</v>
      </c>
      <c r="AA43" s="26">
        <f t="shared" ref="AA43:AA56" si="39">J43/J$58</f>
        <v>-1.5268918197962449</v>
      </c>
      <c r="AB43" s="156">
        <f>AVERAGE(T43:AA43)</f>
        <v>0.38265805980835677</v>
      </c>
    </row>
    <row r="44" spans="2:28" x14ac:dyDescent="0.25">
      <c r="B44" s="73" t="s">
        <v>101</v>
      </c>
      <c r="C44" s="74">
        <f t="shared" si="31"/>
        <v>5896.3585908000005</v>
      </c>
      <c r="D44" s="74">
        <f t="shared" si="32"/>
        <v>2819.6733836000003</v>
      </c>
      <c r="E44" s="74">
        <f t="shared" si="33"/>
        <v>2133.828078</v>
      </c>
      <c r="F44" s="74">
        <f t="shared" si="34"/>
        <v>7857.4057209000002</v>
      </c>
      <c r="G44" s="74">
        <f t="shared" si="35"/>
        <v>1535.2402455000001</v>
      </c>
      <c r="H44" s="74">
        <f t="shared" si="36"/>
        <v>2471.4</v>
      </c>
      <c r="I44" s="74">
        <f t="shared" si="37"/>
        <v>17571.177414000002</v>
      </c>
      <c r="J44" s="74">
        <f t="shared" si="37"/>
        <v>0</v>
      </c>
      <c r="K44" s="21"/>
      <c r="L44" s="20">
        <v>3934578</v>
      </c>
      <c r="M44" s="20">
        <v>1941389</v>
      </c>
      <c r="N44" s="20">
        <v>1563015</v>
      </c>
      <c r="O44" s="20">
        <v>6016851</v>
      </c>
      <c r="P44" s="20">
        <v>1206855</v>
      </c>
      <c r="Q44" s="20">
        <v>2000000</v>
      </c>
      <c r="R44" s="20">
        <v>16296770</v>
      </c>
      <c r="S44" s="20">
        <v>0</v>
      </c>
      <c r="T44" s="26">
        <f t="shared" si="3"/>
        <v>3.0980636403435557</v>
      </c>
      <c r="U44" s="26">
        <f t="shared" si="4"/>
        <v>-1.8280344140209734</v>
      </c>
      <c r="V44" s="26">
        <f t="shared" si="5"/>
        <v>2.7516900813351644</v>
      </c>
      <c r="W44" s="26">
        <f t="shared" si="6"/>
        <v>-61.874386845325631</v>
      </c>
      <c r="X44" s="26">
        <f t="shared" si="7"/>
        <v>-3.2651854777835201</v>
      </c>
      <c r="Y44" s="26">
        <f t="shared" si="8"/>
        <v>0.44367924563879935</v>
      </c>
      <c r="Z44" s="26">
        <f t="shared" si="38"/>
        <v>4.0648261244028445</v>
      </c>
      <c r="AA44" s="26">
        <f t="shared" si="39"/>
        <v>0</v>
      </c>
      <c r="AB44" s="27">
        <f>AVERAGE(T44:AA44)</f>
        <v>-7.0761684556762203</v>
      </c>
    </row>
    <row r="45" spans="2:28" x14ac:dyDescent="0.25">
      <c r="B45" s="50" t="s">
        <v>102</v>
      </c>
      <c r="C45" s="59">
        <f t="shared" si="31"/>
        <v>-813.01747480000017</v>
      </c>
      <c r="D45" s="59">
        <f t="shared" si="32"/>
        <v>-940.08478120000018</v>
      </c>
      <c r="E45" s="59">
        <f t="shared" si="33"/>
        <v>-917.80348199999992</v>
      </c>
      <c r="F45" s="59">
        <f t="shared" si="34"/>
        <v>-2635.2382932</v>
      </c>
      <c r="G45" s="59">
        <f t="shared" si="35"/>
        <v>-2982.3150562999999</v>
      </c>
      <c r="H45" s="59">
        <f t="shared" si="36"/>
        <v>-2849.7651615000004</v>
      </c>
      <c r="I45" s="59">
        <f t="shared" si="37"/>
        <v>-2865.3704100000004</v>
      </c>
      <c r="J45" s="59">
        <f t="shared" si="37"/>
        <v>-3382.48</v>
      </c>
      <c r="L45" s="29">
        <v>-542518</v>
      </c>
      <c r="M45" s="29">
        <v>-647263</v>
      </c>
      <c r="N45" s="29">
        <v>-672285</v>
      </c>
      <c r="O45" s="29">
        <v>-2017948</v>
      </c>
      <c r="P45" s="29">
        <v>-2344403</v>
      </c>
      <c r="Q45" s="29">
        <v>-2306195</v>
      </c>
      <c r="R45" s="29">
        <v>-2657550</v>
      </c>
      <c r="S45" s="29">
        <v>-3382480</v>
      </c>
      <c r="T45" s="32">
        <f t="shared" si="3"/>
        <v>-0.42717549125520082</v>
      </c>
      <c r="U45" s="32">
        <f t="shared" si="4"/>
        <v>0.60947035288778162</v>
      </c>
      <c r="V45" s="32">
        <f t="shared" si="5"/>
        <v>-1.1835586775113554</v>
      </c>
      <c r="W45" s="32">
        <f t="shared" si="6"/>
        <v>20.751601657702867</v>
      </c>
      <c r="X45" s="32">
        <f t="shared" si="7"/>
        <v>6.3428586115748091</v>
      </c>
      <c r="Y45" s="32">
        <f t="shared" si="8"/>
        <v>-0.51160542894798544</v>
      </c>
      <c r="Z45" s="32">
        <f t="shared" si="38"/>
        <v>-0.66286010460396627</v>
      </c>
      <c r="AA45" s="32">
        <f t="shared" si="39"/>
        <v>-1.3298300834701831</v>
      </c>
    </row>
    <row r="46" spans="2:28" x14ac:dyDescent="0.25">
      <c r="B46" s="50" t="s">
        <v>103</v>
      </c>
      <c r="C46" s="59">
        <f t="shared" si="31"/>
        <v>-361.13112940000008</v>
      </c>
      <c r="D46" s="59">
        <f t="shared" si="32"/>
        <v>-357.41821120000003</v>
      </c>
      <c r="E46" s="59">
        <f t="shared" si="33"/>
        <v>-434.26056360000001</v>
      </c>
      <c r="F46" s="59">
        <f t="shared" si="34"/>
        <v>-491.84503469999999</v>
      </c>
      <c r="G46" s="59">
        <f t="shared" si="35"/>
        <v>-498.94051780000001</v>
      </c>
      <c r="H46" s="59">
        <f t="shared" si="36"/>
        <v>-528.73378739999998</v>
      </c>
      <c r="I46" s="59">
        <f t="shared" si="37"/>
        <v>-493.6624956</v>
      </c>
      <c r="J46" s="59">
        <f t="shared" si="37"/>
        <v>-503.64299999999997</v>
      </c>
      <c r="L46" s="29">
        <v>-240979</v>
      </c>
      <c r="M46" s="29">
        <v>-246088</v>
      </c>
      <c r="N46" s="29">
        <v>-318093</v>
      </c>
      <c r="O46" s="29">
        <v>-376633</v>
      </c>
      <c r="P46" s="29">
        <v>-392218</v>
      </c>
      <c r="Q46" s="29">
        <v>-427882</v>
      </c>
      <c r="R46" s="29">
        <v>-457858</v>
      </c>
      <c r="S46" s="29">
        <v>-503643</v>
      </c>
      <c r="T46" s="32">
        <f t="shared" si="3"/>
        <v>-0.18974545122408296</v>
      </c>
      <c r="U46" s="32">
        <f t="shared" si="4"/>
        <v>0.23171931687961211</v>
      </c>
      <c r="V46" s="32">
        <f t="shared" si="5"/>
        <v>-0.56000316890250346</v>
      </c>
      <c r="W46" s="32">
        <f t="shared" si="6"/>
        <v>3.873111689273264</v>
      </c>
      <c r="X46" s="32">
        <f t="shared" si="7"/>
        <v>1.0611585631457769</v>
      </c>
      <c r="Y46" s="32">
        <f t="shared" si="8"/>
        <v>-9.4921181491210357E-2</v>
      </c>
      <c r="Z46" s="32">
        <f t="shared" si="38"/>
        <v>-0.11420135153572379</v>
      </c>
      <c r="AA46" s="32">
        <f t="shared" si="39"/>
        <v>-0.19800844727217112</v>
      </c>
    </row>
    <row r="47" spans="2:28" x14ac:dyDescent="0.25">
      <c r="B47" s="50" t="s">
        <v>52</v>
      </c>
      <c r="C47" s="59">
        <f t="shared" si="31"/>
        <v>-70.441693000000015</v>
      </c>
      <c r="D47" s="59">
        <f t="shared" si="32"/>
        <v>-98.802414800000008</v>
      </c>
      <c r="E47" s="59">
        <f t="shared" si="33"/>
        <v>-85.106567999999996</v>
      </c>
      <c r="F47" s="59">
        <f t="shared" si="34"/>
        <v>-605.82659850000005</v>
      </c>
      <c r="G47" s="59">
        <f t="shared" si="35"/>
        <v>-838.45637519999991</v>
      </c>
      <c r="H47" s="59">
        <f t="shared" si="36"/>
        <v>-697.62061349999999</v>
      </c>
      <c r="I47" s="59">
        <f t="shared" si="37"/>
        <v>-1499.5519343999999</v>
      </c>
      <c r="J47" s="59">
        <f t="shared" si="37"/>
        <v>-2051.3339999999998</v>
      </c>
      <c r="L47" s="29">
        <v>-47005</v>
      </c>
      <c r="M47" s="29">
        <v>-68027</v>
      </c>
      <c r="N47" s="29">
        <v>-62340</v>
      </c>
      <c r="O47" s="29">
        <v>-463915</v>
      </c>
      <c r="P47" s="29">
        <v>-659112</v>
      </c>
      <c r="Q47" s="29">
        <v>-564555</v>
      </c>
      <c r="R47" s="29">
        <v>-1390792</v>
      </c>
      <c r="S47" s="29">
        <v>-2051334</v>
      </c>
      <c r="T47" s="32">
        <f t="shared" si="3"/>
        <v>-3.7011461309027008E-2</v>
      </c>
      <c r="U47" s="32">
        <f t="shared" si="4"/>
        <v>6.4055012716464729E-2</v>
      </c>
      <c r="V47" s="32">
        <f t="shared" si="5"/>
        <v>-0.1097496567022288</v>
      </c>
      <c r="W47" s="32">
        <f t="shared" si="6"/>
        <v>4.7706775809055673</v>
      </c>
      <c r="X47" s="32">
        <f t="shared" si="7"/>
        <v>1.7832489658101851</v>
      </c>
      <c r="Y47" s="32">
        <f t="shared" si="8"/>
        <v>-0.12524066826080618</v>
      </c>
      <c r="Z47" s="32">
        <f t="shared" si="38"/>
        <v>-0.34689865876553944</v>
      </c>
      <c r="AA47" s="32">
        <f t="shared" si="39"/>
        <v>-0.8064868571123035</v>
      </c>
    </row>
    <row r="48" spans="2:28" x14ac:dyDescent="0.25">
      <c r="B48" s="50" t="s">
        <v>148</v>
      </c>
      <c r="C48" s="59">
        <f t="shared" si="31"/>
        <v>0</v>
      </c>
      <c r="D48" s="59">
        <f t="shared" si="32"/>
        <v>0</v>
      </c>
      <c r="E48" s="59">
        <f t="shared" si="33"/>
        <v>129.29945720000001</v>
      </c>
      <c r="F48" s="59">
        <f t="shared" si="34"/>
        <v>0</v>
      </c>
      <c r="G48" s="59">
        <f t="shared" si="35"/>
        <v>0</v>
      </c>
      <c r="H48" s="59">
        <f t="shared" si="36"/>
        <v>0</v>
      </c>
      <c r="I48" s="59">
        <f t="shared" si="37"/>
        <v>0</v>
      </c>
      <c r="J48" s="59">
        <f t="shared" si="37"/>
        <v>0</v>
      </c>
      <c r="L48" s="29"/>
      <c r="M48" s="29"/>
      <c r="N48" s="29">
        <v>94711</v>
      </c>
      <c r="O48" s="29"/>
      <c r="P48" s="29"/>
      <c r="Q48" s="29"/>
      <c r="R48" s="29"/>
      <c r="S48" s="29"/>
      <c r="T48" s="32">
        <f t="shared" si="3"/>
        <v>0</v>
      </c>
      <c r="U48" s="32">
        <f t="shared" si="4"/>
        <v>0</v>
      </c>
      <c r="V48" s="32">
        <f t="shared" si="5"/>
        <v>0.16673884722368934</v>
      </c>
      <c r="W48" s="32">
        <f t="shared" si="6"/>
        <v>0</v>
      </c>
      <c r="X48" s="32">
        <f t="shared" si="7"/>
        <v>0</v>
      </c>
      <c r="Y48" s="32">
        <f t="shared" si="8"/>
        <v>0</v>
      </c>
      <c r="Z48" s="32">
        <f t="shared" si="38"/>
        <v>0</v>
      </c>
      <c r="AA48" s="32">
        <f t="shared" si="39"/>
        <v>0</v>
      </c>
    </row>
    <row r="49" spans="2:27" x14ac:dyDescent="0.25">
      <c r="B49" s="50" t="s">
        <v>140</v>
      </c>
      <c r="C49" s="59">
        <f t="shared" si="31"/>
        <v>0</v>
      </c>
      <c r="D49" s="59">
        <f t="shared" si="32"/>
        <v>0</v>
      </c>
      <c r="E49" s="59">
        <f t="shared" si="33"/>
        <v>0</v>
      </c>
      <c r="F49" s="59">
        <f t="shared" si="34"/>
        <v>-133.42380300000002</v>
      </c>
      <c r="G49" s="59">
        <f t="shared" si="35"/>
        <v>-84.659527100000005</v>
      </c>
      <c r="H49" s="59">
        <f t="shared" si="36"/>
        <v>-173.39836680000002</v>
      </c>
      <c r="I49" s="59">
        <f t="shared" si="37"/>
        <v>0</v>
      </c>
      <c r="J49" s="59">
        <f t="shared" si="37"/>
        <v>0</v>
      </c>
      <c r="L49" s="29"/>
      <c r="M49" s="29"/>
      <c r="N49" s="29"/>
      <c r="O49" s="29">
        <v>-102170</v>
      </c>
      <c r="P49" s="29">
        <v>-66551</v>
      </c>
      <c r="Q49" s="29">
        <v>-140324</v>
      </c>
      <c r="R49" s="29"/>
      <c r="S49" s="29"/>
      <c r="T49" s="32">
        <f t="shared" si="3"/>
        <v>0</v>
      </c>
      <c r="U49" s="32">
        <f t="shared" si="4"/>
        <v>0</v>
      </c>
      <c r="V49" s="32">
        <f t="shared" si="5"/>
        <v>0</v>
      </c>
      <c r="W49" s="32">
        <f t="shared" si="6"/>
        <v>1.0506668860483532</v>
      </c>
      <c r="X49" s="32">
        <f t="shared" si="7"/>
        <v>0.18005589630234869</v>
      </c>
      <c r="Y49" s="32">
        <f t="shared" si="8"/>
        <v>-3.1129423232509442E-2</v>
      </c>
      <c r="Z49" s="32">
        <f t="shared" si="38"/>
        <v>0</v>
      </c>
      <c r="AA49" s="32">
        <f t="shared" si="39"/>
        <v>0</v>
      </c>
    </row>
    <row r="50" spans="2:27" x14ac:dyDescent="0.25">
      <c r="B50" s="50" t="s">
        <v>104</v>
      </c>
      <c r="C50" s="59">
        <f t="shared" si="31"/>
        <v>-160.97511620000003</v>
      </c>
      <c r="D50" s="59">
        <f t="shared" si="32"/>
        <v>-363.36433679999999</v>
      </c>
      <c r="E50" s="59">
        <f t="shared" si="33"/>
        <v>-323.66844200000003</v>
      </c>
      <c r="F50" s="59">
        <f t="shared" si="34"/>
        <v>0</v>
      </c>
      <c r="G50" s="59">
        <f t="shared" si="35"/>
        <v>0</v>
      </c>
      <c r="H50" s="59">
        <f t="shared" si="36"/>
        <v>0</v>
      </c>
      <c r="I50" s="59">
        <f t="shared" si="37"/>
        <v>0</v>
      </c>
      <c r="J50" s="59">
        <f t="shared" si="37"/>
        <v>0</v>
      </c>
      <c r="L50" s="29">
        <v>-107417</v>
      </c>
      <c r="M50" s="29">
        <v>-250182</v>
      </c>
      <c r="N50" s="29">
        <v>-237085</v>
      </c>
      <c r="O50" s="29"/>
      <c r="P50" s="29"/>
      <c r="T50" s="32">
        <f t="shared" si="3"/>
        <v>-8.4579515784102832E-2</v>
      </c>
      <c r="U50" s="32">
        <f t="shared" si="4"/>
        <v>0.23557427479428136</v>
      </c>
      <c r="V50" s="32">
        <f t="shared" si="5"/>
        <v>-0.41738847223689313</v>
      </c>
      <c r="W50" s="32">
        <f t="shared" si="6"/>
        <v>0</v>
      </c>
      <c r="X50" s="32">
        <f t="shared" si="7"/>
        <v>0</v>
      </c>
      <c r="Y50" s="32">
        <f t="shared" si="8"/>
        <v>0</v>
      </c>
      <c r="Z50" s="32">
        <f t="shared" si="38"/>
        <v>0</v>
      </c>
      <c r="AA50" s="32">
        <f t="shared" si="39"/>
        <v>0</v>
      </c>
    </row>
    <row r="51" spans="2:27" x14ac:dyDescent="0.25">
      <c r="B51" s="50" t="s">
        <v>111</v>
      </c>
      <c r="C51" s="59">
        <f t="shared" si="31"/>
        <v>-77.447648000000001</v>
      </c>
      <c r="D51" s="59">
        <f t="shared" si="32"/>
        <v>-141.61335720000002</v>
      </c>
      <c r="E51" s="59">
        <f t="shared" si="33"/>
        <v>-147.63818879999999</v>
      </c>
      <c r="F51" s="59">
        <f t="shared" si="34"/>
        <v>-138.91903020000001</v>
      </c>
      <c r="G51" s="59">
        <f t="shared" si="35"/>
        <v>-127.0967831</v>
      </c>
      <c r="H51" s="59">
        <f t="shared" si="36"/>
        <v>-482.00826330000001</v>
      </c>
      <c r="I51" s="59">
        <f t="shared" si="37"/>
        <v>0</v>
      </c>
      <c r="J51" s="59">
        <f t="shared" si="37"/>
        <v>0</v>
      </c>
      <c r="L51" s="29">
        <v>-51680</v>
      </c>
      <c r="M51" s="29">
        <v>-97503</v>
      </c>
      <c r="N51" s="29">
        <v>-108144</v>
      </c>
      <c r="O51" s="29">
        <v>-106378</v>
      </c>
      <c r="P51" s="29">
        <v>-99911</v>
      </c>
      <c r="Q51" s="29">
        <v>-390069</v>
      </c>
      <c r="T51" s="32">
        <f t="shared" si="3"/>
        <v>-4.0692528889490806E-2</v>
      </c>
      <c r="U51" s="32">
        <f t="shared" si="4"/>
        <v>9.1809956412798766E-2</v>
      </c>
      <c r="V51" s="32">
        <f t="shared" si="5"/>
        <v>-0.19038766240625332</v>
      </c>
      <c r="W51" s="32">
        <f t="shared" si="6"/>
        <v>1.0939399236963072</v>
      </c>
      <c r="X51" s="32">
        <f t="shared" si="7"/>
        <v>0.2703124619534486</v>
      </c>
      <c r="Y51" s="32">
        <f t="shared" si="8"/>
        <v>-8.6532759833540404E-2</v>
      </c>
      <c r="Z51" s="32">
        <f t="shared" si="38"/>
        <v>0</v>
      </c>
      <c r="AA51" s="32">
        <f t="shared" si="39"/>
        <v>0</v>
      </c>
    </row>
    <row r="52" spans="2:27" x14ac:dyDescent="0.25">
      <c r="B52" s="50" t="s">
        <v>146</v>
      </c>
      <c r="C52" s="59">
        <f t="shared" si="31"/>
        <v>0</v>
      </c>
      <c r="D52" s="59">
        <f t="shared" si="32"/>
        <v>0</v>
      </c>
      <c r="E52" s="59">
        <f t="shared" si="33"/>
        <v>0</v>
      </c>
      <c r="F52" s="59">
        <f t="shared" si="34"/>
        <v>108.20295630000001</v>
      </c>
      <c r="G52" s="59">
        <f t="shared" si="35"/>
        <v>309.58207229999999</v>
      </c>
      <c r="H52" s="59">
        <f t="shared" si="36"/>
        <v>0</v>
      </c>
      <c r="I52" s="59">
        <f t="shared" si="37"/>
        <v>61.454165400000001</v>
      </c>
      <c r="J52" s="59">
        <f t="shared" si="37"/>
        <v>276.40199999999999</v>
      </c>
      <c r="L52" s="29"/>
      <c r="M52" s="29"/>
      <c r="N52" s="29"/>
      <c r="O52" s="29">
        <v>82857</v>
      </c>
      <c r="P52" s="29">
        <v>243363</v>
      </c>
      <c r="R52" s="29">
        <v>56997</v>
      </c>
      <c r="S52" s="29">
        <v>276402</v>
      </c>
      <c r="T52" s="32">
        <f t="shared" si="3"/>
        <v>0</v>
      </c>
      <c r="U52" s="32">
        <f t="shared" si="4"/>
        <v>0</v>
      </c>
      <c r="V52" s="32">
        <f t="shared" si="5"/>
        <v>0</v>
      </c>
      <c r="W52" s="32">
        <f t="shared" si="6"/>
        <v>-0.85206133089271219</v>
      </c>
      <c r="X52" s="32">
        <f t="shared" si="7"/>
        <v>-0.65842651638335237</v>
      </c>
      <c r="Y52" s="32">
        <f t="shared" si="8"/>
        <v>0</v>
      </c>
      <c r="Z52" s="32">
        <f t="shared" si="38"/>
        <v>1.421649164911752E-2</v>
      </c>
      <c r="AA52" s="32">
        <f t="shared" si="39"/>
        <v>0.10866810586650195</v>
      </c>
    </row>
    <row r="53" spans="2:27" x14ac:dyDescent="0.25">
      <c r="B53" s="50" t="s">
        <v>105</v>
      </c>
      <c r="C53" s="59">
        <f t="shared" si="31"/>
        <v>0</v>
      </c>
      <c r="D53" s="59">
        <f t="shared" si="32"/>
        <v>-91.357412400000015</v>
      </c>
      <c r="E53" s="59">
        <f t="shared" si="33"/>
        <v>-23.837757199999999</v>
      </c>
      <c r="F53" s="59">
        <f t="shared" si="34"/>
        <v>-151.55230680000003</v>
      </c>
      <c r="G53" s="59">
        <f t="shared" si="35"/>
        <v>-492.23909499999996</v>
      </c>
      <c r="H53" s="59">
        <f t="shared" si="36"/>
        <v>332.40577139999999</v>
      </c>
      <c r="I53" s="59">
        <f t="shared" si="37"/>
        <v>233.48097540000001</v>
      </c>
      <c r="J53" s="59">
        <f t="shared" si="37"/>
        <v>596.72500000000002</v>
      </c>
      <c r="L53" s="30">
        <v>0</v>
      </c>
      <c r="M53" s="29">
        <v>-62901</v>
      </c>
      <c r="N53" s="29">
        <v>-17461</v>
      </c>
      <c r="O53" s="29">
        <v>-116052</v>
      </c>
      <c r="P53" s="29">
        <v>-386950</v>
      </c>
      <c r="Q53" s="29">
        <v>269002</v>
      </c>
      <c r="R53" s="29">
        <v>216547</v>
      </c>
      <c r="S53" s="29">
        <v>596725</v>
      </c>
      <c r="T53" s="32">
        <f t="shared" si="3"/>
        <v>0</v>
      </c>
      <c r="U53" s="32">
        <f t="shared" si="4"/>
        <v>5.922831162447776E-2</v>
      </c>
      <c r="V53" s="32">
        <f t="shared" si="5"/>
        <v>-3.0740114784690683E-2</v>
      </c>
      <c r="W53" s="32">
        <f t="shared" si="6"/>
        <v>1.1934226628137761</v>
      </c>
      <c r="X53" s="32">
        <f t="shared" si="7"/>
        <v>1.0469058177066282</v>
      </c>
      <c r="Y53" s="32">
        <f t="shared" si="8"/>
        <v>5.9675302217664143E-2</v>
      </c>
      <c r="Z53" s="32">
        <f t="shared" si="38"/>
        <v>5.4012292175754012E-2</v>
      </c>
      <c r="AA53" s="32">
        <f t="shared" si="39"/>
        <v>0.23460385768984443</v>
      </c>
    </row>
    <row r="54" spans="2:27" x14ac:dyDescent="0.25">
      <c r="B54" s="50" t="s">
        <v>147</v>
      </c>
      <c r="C54" s="59">
        <f t="shared" si="31"/>
        <v>0</v>
      </c>
      <c r="D54" s="59">
        <f t="shared" si="32"/>
        <v>0</v>
      </c>
      <c r="E54" s="59">
        <f t="shared" si="33"/>
        <v>0</v>
      </c>
      <c r="F54" s="59">
        <f t="shared" si="34"/>
        <v>0</v>
      </c>
      <c r="G54" s="59">
        <f t="shared" si="35"/>
        <v>0</v>
      </c>
      <c r="H54" s="59">
        <f t="shared" si="36"/>
        <v>-271.792215</v>
      </c>
      <c r="I54" s="59">
        <f t="shared" si="37"/>
        <v>-324.30207419999999</v>
      </c>
      <c r="J54" s="59">
        <f t="shared" si="37"/>
        <v>-567.70600000000002</v>
      </c>
      <c r="M54" s="29"/>
      <c r="N54" s="29"/>
      <c r="O54" s="29"/>
      <c r="P54" s="29"/>
      <c r="Q54" s="29">
        <v>-219950</v>
      </c>
      <c r="R54" s="29">
        <v>-300781</v>
      </c>
      <c r="S54" s="29">
        <v>-567706</v>
      </c>
      <c r="T54" s="32">
        <f t="shared" si="3"/>
        <v>0</v>
      </c>
      <c r="U54" s="32">
        <f t="shared" si="4"/>
        <v>0</v>
      </c>
      <c r="V54" s="32">
        <f t="shared" si="5"/>
        <v>0</v>
      </c>
      <c r="W54" s="32">
        <f t="shared" si="6"/>
        <v>0</v>
      </c>
      <c r="X54" s="32">
        <f t="shared" si="7"/>
        <v>0</v>
      </c>
      <c r="Y54" s="32">
        <f t="shared" si="8"/>
        <v>-4.8793625039126952E-2</v>
      </c>
      <c r="Z54" s="32">
        <f t="shared" si="38"/>
        <v>-7.5022379681618623E-2</v>
      </c>
      <c r="AA54" s="32">
        <f t="shared" si="39"/>
        <v>-0.22319496859302163</v>
      </c>
    </row>
    <row r="55" spans="2:27" x14ac:dyDescent="0.25">
      <c r="B55" s="50" t="s">
        <v>106</v>
      </c>
      <c r="C55" s="59">
        <f t="shared" si="31"/>
        <v>-5.9839098000000002</v>
      </c>
      <c r="D55" s="59">
        <f t="shared" si="32"/>
        <v>13.410009200000003</v>
      </c>
      <c r="E55" s="59">
        <f t="shared" si="33"/>
        <v>0</v>
      </c>
      <c r="F55" s="59">
        <f t="shared" si="34"/>
        <v>0</v>
      </c>
      <c r="G55" s="59">
        <f t="shared" si="35"/>
        <v>0</v>
      </c>
      <c r="H55" s="59">
        <f t="shared" si="36"/>
        <v>0</v>
      </c>
      <c r="I55" s="59">
        <f t="shared" si="37"/>
        <v>0</v>
      </c>
      <c r="J55" s="59">
        <f t="shared" si="37"/>
        <v>0</v>
      </c>
      <c r="L55" s="29">
        <v>-3993</v>
      </c>
      <c r="M55" s="29">
        <v>9233</v>
      </c>
      <c r="N55" s="29"/>
      <c r="O55" s="29"/>
      <c r="P55" s="29"/>
      <c r="T55" s="32">
        <f t="shared" si="3"/>
        <v>-3.1440647804902629E-3</v>
      </c>
      <c r="U55" s="32">
        <f t="shared" si="4"/>
        <v>-8.693899957533318E-3</v>
      </c>
      <c r="V55" s="32">
        <f t="shared" si="5"/>
        <v>0</v>
      </c>
      <c r="W55" s="32">
        <f t="shared" si="6"/>
        <v>0</v>
      </c>
      <c r="X55" s="32">
        <f t="shared" si="7"/>
        <v>0</v>
      </c>
      <c r="Y55" s="32">
        <f t="shared" si="8"/>
        <v>0</v>
      </c>
      <c r="Z55" s="32">
        <f t="shared" si="38"/>
        <v>0</v>
      </c>
      <c r="AA55" s="32">
        <f t="shared" si="39"/>
        <v>0</v>
      </c>
    </row>
    <row r="56" spans="2:27" x14ac:dyDescent="0.25">
      <c r="B56" s="65" t="s">
        <v>75</v>
      </c>
      <c r="C56" s="62">
        <f>SUM(C43:C55)</f>
        <v>-622.07185720000052</v>
      </c>
      <c r="D56" s="62">
        <f t="shared" ref="D56:J56" si="40">IFERROR(M56/$A$6*D$1,0)</f>
        <v>-1660.0888428000003</v>
      </c>
      <c r="E56" s="62">
        <f t="shared" si="40"/>
        <v>-1969.0702811999997</v>
      </c>
      <c r="F56" s="62">
        <f t="shared" si="40"/>
        <v>2559.8186504999999</v>
      </c>
      <c r="G56" s="62">
        <f t="shared" si="40"/>
        <v>-3916.7233903000001</v>
      </c>
      <c r="H56" s="62">
        <f t="shared" si="40"/>
        <v>-6516.7802892000009</v>
      </c>
      <c r="I56" s="62">
        <f t="shared" si="40"/>
        <v>3803.8648014</v>
      </c>
      <c r="J56" s="62">
        <f t="shared" si="40"/>
        <v>-9515.7510000000002</v>
      </c>
      <c r="L56" s="52">
        <f>SUM(L43:L55)</f>
        <v>-415102</v>
      </c>
      <c r="M56" s="52">
        <f>SUM(M43:M55)</f>
        <v>-1142997</v>
      </c>
      <c r="N56" s="52">
        <f t="shared" ref="N56:Q56" si="41">SUM(N43:N55)</f>
        <v>-1442331</v>
      </c>
      <c r="O56" s="52">
        <f t="shared" si="41"/>
        <v>1960195</v>
      </c>
      <c r="P56" s="52">
        <f t="shared" si="41"/>
        <v>-3078943</v>
      </c>
      <c r="Q56" s="52">
        <f t="shared" si="41"/>
        <v>-5273756</v>
      </c>
      <c r="R56" s="52">
        <f>SUM(R43:R55)</f>
        <v>3527977</v>
      </c>
      <c r="S56" s="52">
        <f>SUM(S43:S55)</f>
        <v>-9515751</v>
      </c>
      <c r="T56" s="32">
        <f t="shared" si="3"/>
        <v>-0.32684888016806168</v>
      </c>
      <c r="U56" s="32">
        <f t="shared" si="4"/>
        <v>1.0762592407408977</v>
      </c>
      <c r="V56" s="32">
        <f t="shared" si="5"/>
        <v>-2.5392257314883278</v>
      </c>
      <c r="W56" s="32">
        <f t="shared" si="6"/>
        <v>-20.157697726314488</v>
      </c>
      <c r="X56" s="32">
        <f t="shared" si="7"/>
        <v>8.3301804860759781</v>
      </c>
      <c r="Y56" s="32">
        <f t="shared" si="8"/>
        <v>-1.1699280418815461</v>
      </c>
      <c r="Z56" s="32">
        <f t="shared" si="38"/>
        <v>0.87996658699192376</v>
      </c>
      <c r="AA56" s="32">
        <f t="shared" si="39"/>
        <v>-3.7411402126875779</v>
      </c>
    </row>
    <row r="57" spans="2:27" x14ac:dyDescent="0.25">
      <c r="B57" s="12"/>
      <c r="C57" s="12"/>
      <c r="D57" s="62"/>
      <c r="E57" s="62"/>
      <c r="F57" s="62"/>
      <c r="G57" s="62"/>
      <c r="H57" s="62"/>
      <c r="I57" s="62"/>
      <c r="J57" s="62"/>
      <c r="N57" s="29"/>
      <c r="O57" s="29"/>
      <c r="P57" s="29"/>
      <c r="T57" s="32"/>
      <c r="U57" s="32"/>
      <c r="V57" s="32"/>
      <c r="W57" s="32"/>
      <c r="X57" s="32"/>
      <c r="Y57" s="32"/>
      <c r="Z57" s="32"/>
      <c r="AA57" s="32"/>
    </row>
    <row r="58" spans="2:27" s="31" customFormat="1" x14ac:dyDescent="0.25">
      <c r="B58" s="72" t="s">
        <v>107</v>
      </c>
      <c r="C58" s="60">
        <f t="shared" ref="C58:J60" si="42">IFERROR(L58/$A$6*C$1,0)</f>
        <v>1903.2399832000001</v>
      </c>
      <c r="D58" s="60">
        <f t="shared" si="42"/>
        <v>-1542.4618716000002</v>
      </c>
      <c r="E58" s="60">
        <f t="shared" si="42"/>
        <v>775.46090399999991</v>
      </c>
      <c r="F58" s="60">
        <f t="shared" si="42"/>
        <v>-126.9896337</v>
      </c>
      <c r="G58" s="60">
        <f t="shared" si="42"/>
        <v>-470.18469729999998</v>
      </c>
      <c r="H58" s="60">
        <f t="shared" si="42"/>
        <v>5570.2402677000009</v>
      </c>
      <c r="I58" s="60">
        <f t="shared" si="42"/>
        <v>4322.7377694000006</v>
      </c>
      <c r="J58" s="60">
        <f t="shared" si="42"/>
        <v>2543.5430000000001</v>
      </c>
      <c r="L58" s="55">
        <v>1270012</v>
      </c>
      <c r="M58" s="55">
        <v>-1062009</v>
      </c>
      <c r="N58" s="55">
        <v>568020</v>
      </c>
      <c r="O58" s="55">
        <v>-97243</v>
      </c>
      <c r="P58" s="55">
        <v>-369613</v>
      </c>
      <c r="Q58" s="55">
        <v>4507761</v>
      </c>
      <c r="R58" s="55">
        <v>4009217</v>
      </c>
      <c r="S58" s="55">
        <v>2543543</v>
      </c>
      <c r="T58" s="34">
        <f t="shared" si="3"/>
        <v>1</v>
      </c>
      <c r="U58" s="34">
        <f t="shared" si="4"/>
        <v>1</v>
      </c>
      <c r="V58" s="34">
        <f t="shared" si="5"/>
        <v>1</v>
      </c>
      <c r="W58" s="34">
        <f t="shared" si="6"/>
        <v>1</v>
      </c>
      <c r="X58" s="34">
        <f t="shared" si="7"/>
        <v>1</v>
      </c>
      <c r="Y58" s="34">
        <f t="shared" si="8"/>
        <v>1</v>
      </c>
      <c r="Z58" s="34">
        <f>I58/I$58</f>
        <v>1</v>
      </c>
      <c r="AA58" s="34">
        <f>J58/J$58</f>
        <v>1</v>
      </c>
    </row>
    <row r="59" spans="2:27" x14ac:dyDescent="0.25">
      <c r="B59" s="12" t="s">
        <v>108</v>
      </c>
      <c r="C59" s="59">
        <f t="shared" si="42"/>
        <v>-22.831171000000001</v>
      </c>
      <c r="D59" s="59">
        <f t="shared" si="42"/>
        <v>-62.518558000000006</v>
      </c>
      <c r="E59" s="59">
        <f t="shared" si="42"/>
        <v>14.800133199999999</v>
      </c>
      <c r="F59" s="59">
        <f t="shared" si="42"/>
        <v>-225.83320470000001</v>
      </c>
      <c r="G59" s="59">
        <f t="shared" si="42"/>
        <v>129.86487270000001</v>
      </c>
      <c r="H59" s="59">
        <f t="shared" si="42"/>
        <v>-58.253369400000004</v>
      </c>
      <c r="I59" s="59">
        <f t="shared" si="42"/>
        <v>-380.25849779999999</v>
      </c>
      <c r="J59" s="59">
        <f t="shared" si="42"/>
        <v>-79.242999999999995</v>
      </c>
      <c r="L59" s="29">
        <v>-15235</v>
      </c>
      <c r="M59" s="29">
        <v>-43045</v>
      </c>
      <c r="N59" s="29">
        <v>10841</v>
      </c>
      <c r="O59" s="29">
        <v>-172933</v>
      </c>
      <c r="P59" s="29">
        <v>102087</v>
      </c>
      <c r="Q59" s="29">
        <v>-47142</v>
      </c>
      <c r="R59" s="29">
        <v>-352679</v>
      </c>
      <c r="S59" s="29">
        <v>-79243</v>
      </c>
    </row>
    <row r="60" spans="2:27" x14ac:dyDescent="0.25">
      <c r="B60" s="12" t="s">
        <v>109</v>
      </c>
      <c r="C60" s="59">
        <f t="shared" si="42"/>
        <v>1188.6325732000003</v>
      </c>
      <c r="D60" s="59">
        <f t="shared" si="42"/>
        <v>2974.4266036000004</v>
      </c>
      <c r="E60" s="59">
        <f t="shared" si="42"/>
        <v>1287.226602</v>
      </c>
      <c r="F60" s="59">
        <f t="shared" si="42"/>
        <v>1987.2481014000002</v>
      </c>
      <c r="G60" s="59">
        <f t="shared" si="42"/>
        <v>1592.1221969999999</v>
      </c>
      <c r="H60" s="59">
        <f t="shared" si="42"/>
        <v>1215.9831707999999</v>
      </c>
      <c r="I60" s="59">
        <f t="shared" si="42"/>
        <v>5870.4356465999999</v>
      </c>
      <c r="J60" s="59">
        <f t="shared" si="42"/>
        <v>9101.2009999999991</v>
      </c>
      <c r="L60" s="29">
        <v>793162</v>
      </c>
      <c r="M60" s="29">
        <v>2047939</v>
      </c>
      <c r="N60" s="29">
        <v>942885</v>
      </c>
      <c r="O60" s="29">
        <v>1521746</v>
      </c>
      <c r="P60" s="29">
        <v>1251570</v>
      </c>
      <c r="Q60" s="29">
        <v>984044</v>
      </c>
      <c r="R60" s="29">
        <v>5444663</v>
      </c>
      <c r="S60" s="29">
        <v>9101201</v>
      </c>
    </row>
    <row r="61" spans="2:27" x14ac:dyDescent="0.25">
      <c r="B61" s="61" t="s">
        <v>110</v>
      </c>
      <c r="C61" s="62">
        <f>SUM(C58:C60)</f>
        <v>3069.0413854000003</v>
      </c>
      <c r="D61" s="62">
        <f t="shared" ref="D61:I61" si="43">SUM(D58:D60)</f>
        <v>1369.4461740000002</v>
      </c>
      <c r="E61" s="62">
        <f t="shared" si="43"/>
        <v>2077.4876391999996</v>
      </c>
      <c r="F61" s="62">
        <f t="shared" si="43"/>
        <v>1634.4252630000001</v>
      </c>
      <c r="G61" s="62">
        <f t="shared" si="43"/>
        <v>1251.8023724</v>
      </c>
      <c r="H61" s="62">
        <f t="shared" si="43"/>
        <v>6727.9700691000007</v>
      </c>
      <c r="I61" s="62">
        <f t="shared" si="43"/>
        <v>9812.9149182000001</v>
      </c>
      <c r="J61" s="62">
        <f t="shared" ref="J61" si="44">SUM(J58:J60)</f>
        <v>11565.501</v>
      </c>
      <c r="L61" s="52">
        <f>SUM(L58:L60)</f>
        <v>2047939</v>
      </c>
      <c r="M61" s="52">
        <f>SUM(M58:M60)</f>
        <v>942885</v>
      </c>
      <c r="N61" s="52">
        <f t="shared" ref="N61:S61" si="45">SUM(N58:N60)</f>
        <v>1521746</v>
      </c>
      <c r="O61" s="52">
        <f t="shared" si="45"/>
        <v>1251570</v>
      </c>
      <c r="P61" s="52">
        <f t="shared" si="45"/>
        <v>984044</v>
      </c>
      <c r="Q61" s="52">
        <f t="shared" si="45"/>
        <v>5444663</v>
      </c>
      <c r="R61" s="52">
        <f t="shared" si="45"/>
        <v>9101201</v>
      </c>
      <c r="S61" s="52">
        <f t="shared" si="45"/>
        <v>11565501</v>
      </c>
    </row>
    <row r="62" spans="2:27" x14ac:dyDescent="0.25">
      <c r="L62" s="29"/>
    </row>
    <row r="64" spans="2:27" ht="18.600000000000001" x14ac:dyDescent="0.35">
      <c r="B64" s="4" t="s">
        <v>74</v>
      </c>
      <c r="C64" s="211" t="s">
        <v>2</v>
      </c>
      <c r="D64" s="211"/>
      <c r="E64" s="211"/>
      <c r="F64" s="211"/>
      <c r="G64" s="211"/>
      <c r="H64" s="211"/>
      <c r="I64" s="211"/>
      <c r="J64" s="81"/>
      <c r="T64" s="208" t="s">
        <v>135</v>
      </c>
      <c r="U64" s="208"/>
      <c r="V64" s="208"/>
      <c r="W64" s="208"/>
      <c r="X64" s="208"/>
      <c r="Y64" s="208"/>
      <c r="Z64" s="208"/>
      <c r="AA64" s="80"/>
    </row>
    <row r="65" spans="2:29" x14ac:dyDescent="0.25">
      <c r="B65" s="5" t="s">
        <v>66</v>
      </c>
      <c r="C65" s="6">
        <v>2015</v>
      </c>
      <c r="D65" s="6">
        <v>2016</v>
      </c>
      <c r="E65" s="6">
        <v>2017</v>
      </c>
      <c r="F65" s="6">
        <v>2018</v>
      </c>
      <c r="G65" s="6">
        <v>2019</v>
      </c>
      <c r="H65" s="6">
        <v>2020</v>
      </c>
      <c r="I65" s="6">
        <v>2021</v>
      </c>
      <c r="J65" s="6">
        <v>2022</v>
      </c>
      <c r="T65" s="35">
        <f t="shared" ref="T65:Z65" si="46">D65</f>
        <v>2016</v>
      </c>
      <c r="U65" s="35">
        <f t="shared" si="46"/>
        <v>2017</v>
      </c>
      <c r="V65" s="35">
        <f t="shared" si="46"/>
        <v>2018</v>
      </c>
      <c r="W65" s="35">
        <f t="shared" si="46"/>
        <v>2019</v>
      </c>
      <c r="X65" s="35">
        <f t="shared" si="46"/>
        <v>2020</v>
      </c>
      <c r="Y65" s="35">
        <f t="shared" si="46"/>
        <v>2021</v>
      </c>
      <c r="Z65" s="35">
        <f t="shared" si="46"/>
        <v>2022</v>
      </c>
      <c r="AA65" s="35" t="s">
        <v>131</v>
      </c>
    </row>
    <row r="66" spans="2:29" x14ac:dyDescent="0.25">
      <c r="B66" s="73" t="s">
        <v>79</v>
      </c>
      <c r="C66" s="74">
        <f>C10</f>
        <v>1982.3915394000001</v>
      </c>
      <c r="D66" s="74">
        <f t="shared" ref="D66:I66" si="47">D10</f>
        <v>2218.6165248000002</v>
      </c>
      <c r="E66" s="74">
        <f t="shared" si="47"/>
        <v>2234.3218151999999</v>
      </c>
      <c r="F66" s="74">
        <f t="shared" si="47"/>
        <v>3986.5313772000004</v>
      </c>
      <c r="G66" s="74">
        <f t="shared" si="47"/>
        <v>4516.0325981000005</v>
      </c>
      <c r="H66" s="74">
        <f t="shared" si="47"/>
        <v>4694.2438878000003</v>
      </c>
      <c r="I66" s="74">
        <f t="shared" si="47"/>
        <v>5822.5366116000005</v>
      </c>
      <c r="J66" s="74">
        <f t="shared" ref="J66" si="48">J10</f>
        <v>7680.74</v>
      </c>
      <c r="T66" s="32">
        <f t="shared" ref="T66:Z66" si="49">D66/C66-1</f>
        <v>0.11916161903692202</v>
      </c>
      <c r="U66" s="32">
        <f t="shared" si="49"/>
        <v>7.0788665929617522E-3</v>
      </c>
      <c r="V66" s="32">
        <f t="shared" si="49"/>
        <v>0.78422434498011451</v>
      </c>
      <c r="W66" s="32">
        <f t="shared" si="49"/>
        <v>0.13282253939561439</v>
      </c>
      <c r="X66" s="32">
        <f t="shared" si="49"/>
        <v>3.9461913931927217E-2</v>
      </c>
      <c r="Y66" s="32">
        <f t="shared" si="49"/>
        <v>0.2403566475811687</v>
      </c>
      <c r="Z66" s="32">
        <f t="shared" si="49"/>
        <v>0.31913983755773678</v>
      </c>
      <c r="AA66" s="70">
        <f>AVERAGE(T66:Z66)</f>
        <v>0.2346065384394922</v>
      </c>
      <c r="AC66" s="159">
        <f>AVERAGE(C66:J66)</f>
        <v>4141.9267942625002</v>
      </c>
    </row>
    <row r="67" spans="2:29" x14ac:dyDescent="0.25">
      <c r="B67" s="73" t="s">
        <v>83</v>
      </c>
      <c r="C67" s="74">
        <f>C19</f>
        <v>813.01747480000017</v>
      </c>
      <c r="D67" s="74">
        <f t="shared" ref="D67:I67" si="50">D19</f>
        <v>940.08478120000018</v>
      </c>
      <c r="E67" s="74">
        <f t="shared" si="50"/>
        <v>917.80348199999992</v>
      </c>
      <c r="F67" s="74">
        <f t="shared" si="50"/>
        <v>2635.2369872999998</v>
      </c>
      <c r="G67" s="74">
        <f t="shared" si="50"/>
        <v>2982.3150562999999</v>
      </c>
      <c r="H67" s="74">
        <f t="shared" si="50"/>
        <v>2849.7663972</v>
      </c>
      <c r="I67" s="74">
        <f t="shared" si="50"/>
        <v>2865.3704100000004</v>
      </c>
      <c r="J67" s="74">
        <f t="shared" ref="J67" si="51">J19</f>
        <v>3382.48</v>
      </c>
      <c r="T67" s="32">
        <f t="shared" ref="T67:T72" si="52">D67/C67-1</f>
        <v>0.15629099046273054</v>
      </c>
      <c r="U67" s="32">
        <f t="shared" ref="U67:Z72" si="53">E67/D67-1</f>
        <v>-2.3701372094928064E-2</v>
      </c>
      <c r="V67" s="32">
        <f t="shared" si="53"/>
        <v>1.8712431789401296</v>
      </c>
      <c r="W67" s="32">
        <f t="shared" si="53"/>
        <v>0.13170658679757219</v>
      </c>
      <c r="X67" s="32">
        <f t="shared" si="53"/>
        <v>-4.4444888148218009E-2</v>
      </c>
      <c r="Y67" s="32">
        <f t="shared" si="53"/>
        <v>5.4755410181452913E-3</v>
      </c>
      <c r="Z67" s="32">
        <f t="shared" si="53"/>
        <v>0.18046867106441544</v>
      </c>
      <c r="AA67" s="70">
        <f t="shared" ref="AA67:AA72" si="54">AVERAGE(T67:Z67)</f>
        <v>0.32529124400569243</v>
      </c>
    </row>
    <row r="68" spans="2:29" x14ac:dyDescent="0.25">
      <c r="B68" s="73" t="s">
        <v>89</v>
      </c>
      <c r="C68" s="74">
        <f>C27</f>
        <v>1572.5843834</v>
      </c>
      <c r="D68" s="74">
        <f t="shared" ref="D68:I68" si="55">D27</f>
        <v>1226.9759008000001</v>
      </c>
      <c r="E68" s="74">
        <f t="shared" si="55"/>
        <v>890.85170359999995</v>
      </c>
      <c r="F68" s="74">
        <f t="shared" si="55"/>
        <v>4864.4918649000001</v>
      </c>
      <c r="G68" s="74">
        <f t="shared" si="55"/>
        <v>-320.6493423</v>
      </c>
      <c r="H68" s="74">
        <f t="shared" si="55"/>
        <v>1141.3604834999999</v>
      </c>
      <c r="I68" s="74">
        <f t="shared" si="55"/>
        <v>4781.7458388000005</v>
      </c>
      <c r="J68" s="74">
        <f t="shared" ref="J68" si="56">J27</f>
        <v>2944.299</v>
      </c>
      <c r="T68" s="32">
        <f t="shared" si="52"/>
        <v>-0.21977102548403693</v>
      </c>
      <c r="U68" s="32">
        <f t="shared" si="53"/>
        <v>-0.27394523150849492</v>
      </c>
      <c r="V68" s="32">
        <f t="shared" si="53"/>
        <v>4.4604956641405256</v>
      </c>
      <c r="W68" s="32">
        <f t="shared" si="53"/>
        <v>-1.0659163076443117</v>
      </c>
      <c r="X68" s="32">
        <f t="shared" si="53"/>
        <v>-4.5595285345451959</v>
      </c>
      <c r="Y68" s="32">
        <f t="shared" si="53"/>
        <v>3.1895140999946854</v>
      </c>
      <c r="Z68" s="32">
        <f t="shared" si="53"/>
        <v>-0.38426275689740874</v>
      </c>
      <c r="AA68" s="70">
        <f t="shared" si="54"/>
        <v>0.16379798686510894</v>
      </c>
    </row>
    <row r="69" spans="2:29" x14ac:dyDescent="0.25">
      <c r="B69" s="73" t="s">
        <v>94</v>
      </c>
      <c r="C69" s="74">
        <f>C34</f>
        <v>-4287.0884794000003</v>
      </c>
      <c r="D69" s="74">
        <f t="shared" ref="D69:I69" si="57">D34</f>
        <v>-4764.6926060000005</v>
      </c>
      <c r="E69" s="74">
        <f t="shared" si="57"/>
        <v>-4088.4982295999994</v>
      </c>
      <c r="F69" s="74">
        <f t="shared" si="57"/>
        <v>-5578.1374851</v>
      </c>
      <c r="G69" s="74">
        <f t="shared" si="57"/>
        <v>-4821.0083962999997</v>
      </c>
      <c r="H69" s="74">
        <f t="shared" si="57"/>
        <v>-2901.9512439</v>
      </c>
      <c r="I69" s="74">
        <f t="shared" si="57"/>
        <v>-4460.0131152000004</v>
      </c>
      <c r="J69" s="74">
        <f t="shared" ref="J69" si="58">J34</f>
        <v>-5401.4549999999999</v>
      </c>
      <c r="T69" s="32">
        <f t="shared" si="52"/>
        <v>0.11140524131819252</v>
      </c>
      <c r="U69" s="32">
        <f t="shared" si="53"/>
        <v>-0.14191773369566274</v>
      </c>
      <c r="V69" s="32">
        <f t="shared" si="53"/>
        <v>0.36434875884628681</v>
      </c>
      <c r="W69" s="32">
        <f t="shared" si="53"/>
        <v>-0.13573152164542379</v>
      </c>
      <c r="X69" s="32">
        <f t="shared" si="53"/>
        <v>-0.39806135867193815</v>
      </c>
      <c r="Y69" s="32">
        <f t="shared" si="53"/>
        <v>0.53690146399774963</v>
      </c>
      <c r="Z69" s="32">
        <f t="shared" si="53"/>
        <v>0.2110850036721883</v>
      </c>
      <c r="AA69" s="70">
        <f t="shared" si="54"/>
        <v>7.8289979117341799E-2</v>
      </c>
    </row>
    <row r="70" spans="2:29" x14ac:dyDescent="0.25">
      <c r="B70" s="73" t="s">
        <v>100</v>
      </c>
      <c r="C70" s="74">
        <f>C43</f>
        <v>-5029.4334768000008</v>
      </c>
      <c r="D70" s="74">
        <f t="shared" ref="D70:I70" si="59">D43</f>
        <v>-2500.5317220000002</v>
      </c>
      <c r="E70" s="74">
        <f t="shared" si="59"/>
        <v>-2299.8828147999998</v>
      </c>
      <c r="F70" s="74">
        <f t="shared" si="59"/>
        <v>-1248.9849603</v>
      </c>
      <c r="G70" s="74">
        <f t="shared" si="59"/>
        <v>-737.8383536</v>
      </c>
      <c r="H70" s="74">
        <f t="shared" si="59"/>
        <v>-4317.2676530999997</v>
      </c>
      <c r="I70" s="74">
        <f t="shared" si="59"/>
        <v>-8879.3608392000006</v>
      </c>
      <c r="J70" s="74">
        <f t="shared" ref="J70" si="60">J43</f>
        <v>-3883.7150000000001</v>
      </c>
      <c r="T70" s="32">
        <f t="shared" si="52"/>
        <v>-0.50282040044180598</v>
      </c>
      <c r="U70" s="32">
        <f t="shared" si="53"/>
        <v>-8.0242496199774416E-2</v>
      </c>
      <c r="V70" s="32">
        <f t="shared" si="53"/>
        <v>-0.45693539155010687</v>
      </c>
      <c r="W70" s="32">
        <f t="shared" si="53"/>
        <v>-0.40924960904030827</v>
      </c>
      <c r="X70" s="32">
        <f t="shared" si="53"/>
        <v>4.8512377840424579</v>
      </c>
      <c r="Y70" s="32">
        <f t="shared" si="53"/>
        <v>1.0567084444774242</v>
      </c>
      <c r="Z70" s="32">
        <f t="shared" si="53"/>
        <v>-0.56261322517106882</v>
      </c>
      <c r="AA70" s="70">
        <f t="shared" si="54"/>
        <v>0.5565835865881168</v>
      </c>
    </row>
    <row r="71" spans="2:29" x14ac:dyDescent="0.25">
      <c r="B71" s="73" t="s">
        <v>101</v>
      </c>
      <c r="C71" s="74">
        <f>C44</f>
        <v>5896.3585908000005</v>
      </c>
      <c r="D71" s="74">
        <f t="shared" ref="D71:I71" si="61">D44</f>
        <v>2819.6733836000003</v>
      </c>
      <c r="E71" s="74">
        <f t="shared" si="61"/>
        <v>2133.828078</v>
      </c>
      <c r="F71" s="74">
        <f t="shared" si="61"/>
        <v>7857.4057209000002</v>
      </c>
      <c r="G71" s="74">
        <f t="shared" si="61"/>
        <v>1535.2402455000001</v>
      </c>
      <c r="H71" s="74">
        <f t="shared" si="61"/>
        <v>2471.4</v>
      </c>
      <c r="I71" s="74">
        <f t="shared" si="61"/>
        <v>17571.177414000002</v>
      </c>
      <c r="J71" s="74">
        <f t="shared" ref="J71" si="62">J44</f>
        <v>0</v>
      </c>
      <c r="T71" s="32">
        <f t="shared" si="52"/>
        <v>-0.52179411408263154</v>
      </c>
      <c r="U71" s="32">
        <f t="shared" si="53"/>
        <v>-0.24323572708423113</v>
      </c>
      <c r="V71" s="32">
        <f t="shared" si="53"/>
        <v>2.6823049625744031</v>
      </c>
      <c r="W71" s="32">
        <f t="shared" si="53"/>
        <v>-0.80461232370674229</v>
      </c>
      <c r="X71" s="32">
        <f t="shared" si="53"/>
        <v>0.60978062374537978</v>
      </c>
      <c r="Y71" s="32">
        <f t="shared" si="53"/>
        <v>6.1098071595047347</v>
      </c>
      <c r="Z71" s="32">
        <f t="shared" si="53"/>
        <v>-1</v>
      </c>
      <c r="AA71" s="70">
        <f t="shared" si="54"/>
        <v>0.97603579727870182</v>
      </c>
    </row>
    <row r="72" spans="2:29" x14ac:dyDescent="0.25">
      <c r="B72" s="72" t="s">
        <v>107</v>
      </c>
      <c r="C72" s="60">
        <f>C58</f>
        <v>1903.2399832000001</v>
      </c>
      <c r="D72" s="60">
        <f t="shared" ref="D72:I72" si="63">D58</f>
        <v>-1542.4618716000002</v>
      </c>
      <c r="E72" s="60">
        <f t="shared" si="63"/>
        <v>775.46090399999991</v>
      </c>
      <c r="F72" s="60">
        <f t="shared" si="63"/>
        <v>-126.9896337</v>
      </c>
      <c r="G72" s="60">
        <f t="shared" si="63"/>
        <v>-470.18469729999998</v>
      </c>
      <c r="H72" s="60">
        <f t="shared" si="63"/>
        <v>5570.2402677000009</v>
      </c>
      <c r="I72" s="60">
        <f t="shared" si="63"/>
        <v>4322.7377694000006</v>
      </c>
      <c r="J72" s="60">
        <f t="shared" ref="J72" si="64">J58</f>
        <v>2543.5430000000001</v>
      </c>
      <c r="T72" s="32">
        <f t="shared" si="52"/>
        <v>-1.8104400313231084</v>
      </c>
      <c r="U72" s="32">
        <f t="shared" si="53"/>
        <v>-1.5027423486297344</v>
      </c>
      <c r="V72" s="32">
        <f t="shared" si="53"/>
        <v>-1.1637602012492947</v>
      </c>
      <c r="W72" s="32">
        <f t="shared" si="53"/>
        <v>2.7025439289852837</v>
      </c>
      <c r="X72" s="32">
        <f t="shared" si="53"/>
        <v>-12.846919518407732</v>
      </c>
      <c r="Y72" s="32">
        <f t="shared" si="53"/>
        <v>-0.22395847186949169</v>
      </c>
      <c r="Z72" s="32">
        <f t="shared" si="53"/>
        <v>-0.41158979894516112</v>
      </c>
      <c r="AA72" s="70">
        <f t="shared" si="54"/>
        <v>-2.1795523487770345</v>
      </c>
    </row>
  </sheetData>
  <mergeCells count="5">
    <mergeCell ref="T5:AB5"/>
    <mergeCell ref="C64:I64"/>
    <mergeCell ref="T64:Z64"/>
    <mergeCell ref="L5:S5"/>
    <mergeCell ref="C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Modelo financiero</vt:lpstr>
      <vt:lpstr>Chedraui</vt:lpstr>
      <vt:lpstr>Información</vt:lpstr>
      <vt:lpstr>Razones financieras</vt:lpstr>
      <vt:lpstr>Balance general</vt:lpstr>
      <vt:lpstr>Estado de resultados</vt:lpstr>
      <vt:lpstr>Flujo de efectivo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Fajardo Aguilar</dc:creator>
  <cp:lastModifiedBy>Daniel Fajardo Aguilar</cp:lastModifiedBy>
  <dcterms:created xsi:type="dcterms:W3CDTF">2023-03-30T07:22:03Z</dcterms:created>
  <dcterms:modified xsi:type="dcterms:W3CDTF">2023-06-06T14:21:02Z</dcterms:modified>
</cp:coreProperties>
</file>